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\Codigo\Darts_new\Ejemplo_1_4\"/>
    </mc:Choice>
  </mc:AlternateContent>
  <xr:revisionPtr revIDLastSave="0" documentId="13_ncr:1_{E530CF28-F2BA-43F1-AFD9-7BA0AABB45F3}" xr6:coauthVersionLast="47" xr6:coauthVersionMax="47" xr10:uidLastSave="{00000000-0000-0000-0000-000000000000}"/>
  <bookViews>
    <workbookView xWindow="-120" yWindow="-120" windowWidth="20730" windowHeight="11040" activeTab="1" xr2:uid="{2CE99E7C-E878-4D45-8C78-66EAE0768678}"/>
  </bookViews>
  <sheets>
    <sheet name="Hoja1" sheetId="1" r:id="rId1"/>
    <sheet name="Hoja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3" l="1"/>
  <c r="W28" i="3"/>
  <c r="W29" i="3"/>
  <c r="W30" i="3"/>
  <c r="W31" i="3"/>
  <c r="W32" i="3"/>
  <c r="W33" i="3"/>
  <c r="W34" i="3"/>
  <c r="W35" i="3"/>
  <c r="W36" i="3"/>
  <c r="W26" i="3"/>
  <c r="V27" i="3"/>
  <c r="V28" i="3"/>
  <c r="V29" i="3"/>
  <c r="V30" i="3"/>
  <c r="V31" i="3"/>
  <c r="V32" i="3"/>
  <c r="V33" i="3"/>
  <c r="V34" i="3"/>
  <c r="V35" i="3"/>
  <c r="V36" i="3"/>
  <c r="V26" i="3"/>
  <c r="X11" i="3"/>
  <c r="W3" i="3"/>
  <c r="W4" i="3"/>
  <c r="W5" i="3"/>
  <c r="W6" i="3"/>
  <c r="W7" i="3"/>
  <c r="W8" i="3"/>
  <c r="W9" i="3"/>
  <c r="W10" i="3"/>
  <c r="W11" i="3"/>
  <c r="W12" i="3"/>
  <c r="W2" i="3"/>
  <c r="J18" i="3"/>
  <c r="J19" i="3"/>
  <c r="J20" i="3"/>
  <c r="J21" i="3"/>
  <c r="J22" i="3"/>
  <c r="J23" i="3"/>
  <c r="J24" i="3"/>
  <c r="J25" i="3"/>
  <c r="J26" i="3"/>
  <c r="J27" i="3"/>
  <c r="J17" i="3"/>
  <c r="I18" i="3"/>
  <c r="X3" i="3" s="1"/>
  <c r="I19" i="3"/>
  <c r="I20" i="3"/>
  <c r="X5" i="3" s="1"/>
  <c r="I21" i="3"/>
  <c r="X6" i="3" s="1"/>
  <c r="I22" i="3"/>
  <c r="X7" i="3" s="1"/>
  <c r="I23" i="3"/>
  <c r="I24" i="3"/>
  <c r="I25" i="3"/>
  <c r="I26" i="3"/>
  <c r="I27" i="3"/>
  <c r="I17" i="3"/>
  <c r="X2" i="3" s="1"/>
  <c r="J12" i="3"/>
  <c r="I3" i="3"/>
  <c r="I4" i="3"/>
  <c r="I5" i="3"/>
  <c r="I6" i="3"/>
  <c r="I7" i="3"/>
  <c r="I8" i="3"/>
  <c r="I9" i="3"/>
  <c r="I10" i="3"/>
  <c r="I11" i="3"/>
  <c r="I12" i="3"/>
  <c r="I2" i="3"/>
  <c r="B12" i="3"/>
  <c r="B11" i="3"/>
  <c r="J11" i="3" s="1"/>
  <c r="B10" i="3"/>
  <c r="J10" i="3" s="1"/>
  <c r="B9" i="3"/>
  <c r="J9" i="3" s="1"/>
  <c r="B8" i="3"/>
  <c r="J8" i="3" s="1"/>
  <c r="B7" i="3"/>
  <c r="J7" i="3" s="1"/>
  <c r="B6" i="3"/>
  <c r="J6" i="3" s="1"/>
  <c r="B5" i="3"/>
  <c r="J5" i="3" s="1"/>
  <c r="B4" i="3"/>
  <c r="J4" i="3" s="1"/>
  <c r="B3" i="3"/>
  <c r="J3" i="3" s="1"/>
  <c r="C2" i="3"/>
  <c r="B2" i="3"/>
  <c r="D2" i="3" s="1"/>
  <c r="F2" i="3" s="1"/>
  <c r="C2" i="1"/>
  <c r="E2" i="1" s="1"/>
  <c r="B3" i="1"/>
  <c r="B4" i="1"/>
  <c r="B5" i="1"/>
  <c r="B6" i="1"/>
  <c r="B7" i="1"/>
  <c r="B8" i="1"/>
  <c r="B9" i="1"/>
  <c r="B10" i="1"/>
  <c r="B11" i="1"/>
  <c r="B12" i="1"/>
  <c r="B2" i="1"/>
  <c r="D2" i="1" s="1"/>
  <c r="F2" i="1" s="1"/>
  <c r="X12" i="3" l="1"/>
  <c r="X4" i="3"/>
  <c r="X10" i="3"/>
  <c r="X9" i="3"/>
  <c r="X8" i="3"/>
  <c r="J2" i="3"/>
  <c r="E2" i="3"/>
  <c r="I9" i="1"/>
  <c r="J12" i="1"/>
  <c r="I7" i="1"/>
  <c r="J10" i="1"/>
  <c r="I6" i="1"/>
  <c r="J8" i="1"/>
  <c r="I12" i="1"/>
  <c r="I4" i="1"/>
  <c r="J7" i="1"/>
  <c r="J9" i="1"/>
  <c r="I5" i="1"/>
  <c r="I11" i="1"/>
  <c r="I3" i="1"/>
  <c r="J6" i="1"/>
  <c r="I2" i="1"/>
  <c r="I10" i="1"/>
  <c r="J2" i="1"/>
  <c r="J5" i="1"/>
  <c r="J4" i="1"/>
  <c r="I8" i="1"/>
  <c r="J11" i="1"/>
  <c r="J3" i="1"/>
</calcChain>
</file>

<file path=xl/sharedStrings.xml><?xml version="1.0" encoding="utf-8"?>
<sst xmlns="http://schemas.openxmlformats.org/spreadsheetml/2006/main" count="29" uniqueCount="13">
  <si>
    <t>Sw</t>
  </si>
  <si>
    <t>krw</t>
  </si>
  <si>
    <t>krg</t>
  </si>
  <si>
    <t>n</t>
  </si>
  <si>
    <t>krwep</t>
  </si>
  <si>
    <t>Swc</t>
  </si>
  <si>
    <t>Sgr</t>
  </si>
  <si>
    <t>Swr</t>
  </si>
  <si>
    <t>Ss</t>
  </si>
  <si>
    <t>krsep</t>
  </si>
  <si>
    <t>Ssc</t>
  </si>
  <si>
    <t>n=1</t>
  </si>
  <si>
    <t>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</si>
</sst>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Hoja1!$I$1</c:f>
              <c:strCache>
                <c:ptCount val="1"/>
                <c:pt idx="0">
                  <c:v>krw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Hoja1!$A$2:$A$12</c:f>
              <c:numCache>
                <c:formatCode>General</c:formatCode>
                <c:ptCount val="11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</c:numCache>
            </c:numRef>
          </c:xVal>
          <c:yVal>
            <c:numRef>
              <c:f>Hoja1!$I$2:$I$12</c:f>
              <c:numCache>
                <c:formatCode>General</c:formatCode>
                <c:ptCount val="11"/>
                <c:pt idx="0">
                  <c:v>0</c:v>
                </c:pt>
                <c:pt idx="1">
                  <c:v>7.399999999999996E-3</c:v>
                </c:pt>
                <c:pt idx="2">
                  <c:v>2.9599999999999984E-2</c:v>
                </c:pt>
                <c:pt idx="3">
                  <c:v>6.660000000000002E-2</c:v>
                </c:pt>
                <c:pt idx="4">
                  <c:v>0.11840000000000002</c:v>
                </c:pt>
                <c:pt idx="5">
                  <c:v>0.185</c:v>
                </c:pt>
                <c:pt idx="6">
                  <c:v>0.26640000000000008</c:v>
                </c:pt>
                <c:pt idx="7">
                  <c:v>0.36259999999999992</c:v>
                </c:pt>
                <c:pt idx="8">
                  <c:v>0.47360000000000008</c:v>
                </c:pt>
                <c:pt idx="9">
                  <c:v>0.59939999999999982</c:v>
                </c:pt>
                <c:pt idx="10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C-43AE-B192-D7C8339DDD58}"/>
            </c:ext>
          </c:extLst>
        </c:ser>
        <c:ser>
          <c:idx val="1"/>
          <c:order val="1"/>
          <c:tx>
            <c:strRef>
              <c:f>Hoja1!$J$1</c:f>
              <c:strCache>
                <c:ptCount val="1"/>
                <c:pt idx="0">
                  <c:v>krg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Hoja1!$A$2:$A$12</c:f>
              <c:numCache>
                <c:formatCode>General</c:formatCode>
                <c:ptCount val="11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0.45</c:v>
                </c:pt>
                <c:pt idx="5">
                  <c:v>0.5</c:v>
                </c:pt>
                <c:pt idx="6">
                  <c:v>0.55000000000000004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0.75</c:v>
                </c:pt>
              </c:numCache>
            </c:numRef>
          </c:xVal>
          <c:yVal>
            <c:numRef>
              <c:f>Hoja1!$J$2:$J$12</c:f>
              <c:numCache>
                <c:formatCode>General</c:formatCode>
                <c:ptCount val="11"/>
                <c:pt idx="0">
                  <c:v>1</c:v>
                </c:pt>
                <c:pt idx="1">
                  <c:v>0.80999999999999983</c:v>
                </c:pt>
                <c:pt idx="2">
                  <c:v>0.64000000000000012</c:v>
                </c:pt>
                <c:pt idx="3">
                  <c:v>0.48999999999999994</c:v>
                </c:pt>
                <c:pt idx="4">
                  <c:v>0.3600000000000001</c:v>
                </c:pt>
                <c:pt idx="5">
                  <c:v>0.25</c:v>
                </c:pt>
                <c:pt idx="6">
                  <c:v>0.15999999999999992</c:v>
                </c:pt>
                <c:pt idx="7">
                  <c:v>9.0000000000000024E-2</c:v>
                </c:pt>
                <c:pt idx="8">
                  <c:v>3.999999999999998E-2</c:v>
                </c:pt>
                <c:pt idx="9">
                  <c:v>1.0000000000000018E-2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7C-43AE-B192-D7C8339DD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42639"/>
        <c:axId val="328142159"/>
      </c:scatterChart>
      <c:valAx>
        <c:axId val="32814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159"/>
        <c:crosses val="autoZero"/>
        <c:crossBetween val="midCat"/>
      </c:valAx>
      <c:valAx>
        <c:axId val="3281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687136737655"/>
          <c:y val="4.1649853595813406E-2"/>
          <c:w val="0.84977022281687353"/>
          <c:h val="0.7761911371335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'Hoja1 (2)'!$I$1</c:f>
              <c:strCache>
                <c:ptCount val="1"/>
                <c:pt idx="0">
                  <c:v>krw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(2)'!$I$2:$I$12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C-4AF0-B751-295FC4AD1D44}"/>
            </c:ext>
          </c:extLst>
        </c:ser>
        <c:ser>
          <c:idx val="1"/>
          <c:order val="1"/>
          <c:tx>
            <c:strRef>
              <c:f>'Hoja1 (2)'!$J$1</c:f>
              <c:strCache>
                <c:ptCount val="1"/>
                <c:pt idx="0">
                  <c:v>krg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(2)'!$J$2:$J$12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0.30000000000000004</c:v>
                </c:pt>
                <c:pt idx="8">
                  <c:v>0.19999999999999996</c:v>
                </c:pt>
                <c:pt idx="9">
                  <c:v>9.9999999999999978E-2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C-4AF0-B751-295FC4AD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42639"/>
        <c:axId val="328142159"/>
      </c:scatterChart>
      <c:valAx>
        <c:axId val="328142639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159"/>
        <c:crosses val="autoZero"/>
        <c:crossBetween val="midCat"/>
      </c:valAx>
      <c:valAx>
        <c:axId val="328142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Kr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687136737655"/>
          <c:y val="4.1649853595813406E-2"/>
          <c:w val="0.84977022281687353"/>
          <c:h val="0.7761911371335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'Hoja1 (2)'!$I$1</c:f>
              <c:strCache>
                <c:ptCount val="1"/>
                <c:pt idx="0">
                  <c:v>krw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(2)'!$I$17:$I$27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1.0000000000000002E-3</c:v>
                </c:pt>
                <c:pt idx="2">
                  <c:v>8.0000000000000019E-3</c:v>
                </c:pt>
                <c:pt idx="3">
                  <c:v>2.7E-2</c:v>
                </c:pt>
                <c:pt idx="4">
                  <c:v>6.4000000000000015E-2</c:v>
                </c:pt>
                <c:pt idx="5">
                  <c:v>0.125</c:v>
                </c:pt>
                <c:pt idx="6">
                  <c:v>0.216</c:v>
                </c:pt>
                <c:pt idx="7">
                  <c:v>0.34299999999999992</c:v>
                </c:pt>
                <c:pt idx="8">
                  <c:v>0.51200000000000012</c:v>
                </c:pt>
                <c:pt idx="9">
                  <c:v>0.72900000000000009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0-4AAA-813F-894C7E7707CB}"/>
            </c:ext>
          </c:extLst>
        </c:ser>
        <c:ser>
          <c:idx val="1"/>
          <c:order val="1"/>
          <c:tx>
            <c:strRef>
              <c:f>'Hoja1 (2)'!$J$1</c:f>
              <c:strCache>
                <c:ptCount val="1"/>
                <c:pt idx="0">
                  <c:v>krg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(2)'!$J$17:$J$27</c:f>
              <c:numCache>
                <c:formatCode>General</c:formatCode>
                <c:ptCount val="11"/>
                <c:pt idx="0">
                  <c:v>1</c:v>
                </c:pt>
                <c:pt idx="1">
                  <c:v>0.72900000000000009</c:v>
                </c:pt>
                <c:pt idx="2">
                  <c:v>0.51200000000000012</c:v>
                </c:pt>
                <c:pt idx="3">
                  <c:v>0.34299999999999992</c:v>
                </c:pt>
                <c:pt idx="4">
                  <c:v>0.216</c:v>
                </c:pt>
                <c:pt idx="5">
                  <c:v>0.125</c:v>
                </c:pt>
                <c:pt idx="6">
                  <c:v>6.4000000000000015E-2</c:v>
                </c:pt>
                <c:pt idx="7">
                  <c:v>2.700000000000001E-2</c:v>
                </c:pt>
                <c:pt idx="8">
                  <c:v>7.999999999999995E-3</c:v>
                </c:pt>
                <c:pt idx="9">
                  <c:v>9.9999999999999937E-4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E0-4AAA-813F-894C7E77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42639"/>
        <c:axId val="328142159"/>
      </c:scatterChart>
      <c:valAx>
        <c:axId val="328142639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159"/>
        <c:crosses val="autoZero"/>
        <c:crossBetween val="midCat"/>
      </c:valAx>
      <c:valAx>
        <c:axId val="328142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Kr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687136737655"/>
          <c:y val="4.1649853595813406E-2"/>
          <c:w val="0.84977022281687353"/>
          <c:h val="0.7761911371335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'Hoja1 (2)'!$W$1</c:f>
              <c:strCache>
                <c:ptCount val="1"/>
                <c:pt idx="0">
                  <c:v>n=1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(2)'!$W$2:$W$12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E-4252-9B78-4C2FF899CA12}"/>
            </c:ext>
          </c:extLst>
        </c:ser>
        <c:ser>
          <c:idx val="1"/>
          <c:order val="1"/>
          <c:tx>
            <c:strRef>
              <c:f>'Hoja1 (2)'!$X$1</c:f>
              <c:strCache>
                <c:ptCount val="1"/>
                <c:pt idx="0">
                  <c:v>n=3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(2)'!$X$2:$X$12</c:f>
              <c:numCache>
                <c:formatCode>General</c:formatCode>
                <c:ptCount val="11"/>
                <c:pt idx="0">
                  <c:v>1</c:v>
                </c:pt>
                <c:pt idx="1">
                  <c:v>0.73000000000000009</c:v>
                </c:pt>
                <c:pt idx="2">
                  <c:v>0.52000000000000013</c:v>
                </c:pt>
                <c:pt idx="3">
                  <c:v>0.36999999999999994</c:v>
                </c:pt>
                <c:pt idx="4">
                  <c:v>0.28000000000000003</c:v>
                </c:pt>
                <c:pt idx="5">
                  <c:v>0.25</c:v>
                </c:pt>
                <c:pt idx="6">
                  <c:v>0.28000000000000003</c:v>
                </c:pt>
                <c:pt idx="7">
                  <c:v>0.36999999999999994</c:v>
                </c:pt>
                <c:pt idx="8">
                  <c:v>0.52000000000000013</c:v>
                </c:pt>
                <c:pt idx="9">
                  <c:v>0.73000000000000009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2E-4252-9B78-4C2FF899C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42639"/>
        <c:axId val="328142159"/>
      </c:scatterChart>
      <c:valAx>
        <c:axId val="328142639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159"/>
        <c:crosses val="autoZero"/>
        <c:crossBetween val="midCat"/>
      </c:valAx>
      <c:valAx>
        <c:axId val="328142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de gasto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687136737655"/>
          <c:y val="4.1649853595813406E-2"/>
          <c:w val="0.84977022281687353"/>
          <c:h val="0.7761911371335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'Hoja1 (2)'!$V$25</c:f>
              <c:strCache>
                <c:ptCount val="1"/>
                <c:pt idx="0">
                  <c:v>n=1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(2)'!$V$26:$V$36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0-4E1A-902E-4BFA51C55546}"/>
            </c:ext>
          </c:extLst>
        </c:ser>
        <c:ser>
          <c:idx val="1"/>
          <c:order val="1"/>
          <c:tx>
            <c:strRef>
              <c:f>'Hoja1 (2)'!$W$25</c:f>
              <c:strCache>
                <c:ptCount val="1"/>
                <c:pt idx="0">
                  <c:v>n=3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'Hoja1 (2)'!$A$2:$A$12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'Hoja1 (2)'!$W$26:$W$36</c:f>
              <c:numCache>
                <c:formatCode>General</c:formatCode>
                <c:ptCount val="11"/>
                <c:pt idx="0">
                  <c:v>0</c:v>
                </c:pt>
                <c:pt idx="1">
                  <c:v>1.3698630136986304E-3</c:v>
                </c:pt>
                <c:pt idx="2">
                  <c:v>1.5384615384615384E-2</c:v>
                </c:pt>
                <c:pt idx="3">
                  <c:v>7.2972972972972991E-2</c:v>
                </c:pt>
                <c:pt idx="4">
                  <c:v>0.22857142857142859</c:v>
                </c:pt>
                <c:pt idx="5">
                  <c:v>0.5</c:v>
                </c:pt>
                <c:pt idx="6">
                  <c:v>0.77142857142857135</c:v>
                </c:pt>
                <c:pt idx="7">
                  <c:v>0.927027027027027</c:v>
                </c:pt>
                <c:pt idx="8">
                  <c:v>0.98461538461538456</c:v>
                </c:pt>
                <c:pt idx="9">
                  <c:v>0.99863013698630132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C0-4E1A-902E-4BFA51C55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142639"/>
        <c:axId val="328142159"/>
      </c:scatterChart>
      <c:valAx>
        <c:axId val="328142639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159"/>
        <c:crosses val="autoZero"/>
        <c:crossBetween val="midCat"/>
      </c:valAx>
      <c:valAx>
        <c:axId val="3281421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de agua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814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116680</xdr:colOff>
      <xdr:row>17</xdr:row>
      <xdr:rowOff>145255</xdr:rowOff>
    </xdr:from>
    <xdr:to>
      <xdr:col>5</xdr:col>
      <xdr:colOff>494277</xdr:colOff>
      <xdr:row>25</xdr:row>
      <xdr:rowOff>135730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B83A45-A968-3F19-E62A-EC1EAD829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680" y="3383755"/>
          <a:ext cx="3425597" cy="1514475"/>
        </a:xfrm>
        <a:prstGeom prst="rect">
          <a:avLst/>
        </a:prstGeom>
      </xdr:spPr>
    </xdr:pic>
    <xdr:clientData/>
  </xdr:twoCellAnchor>
  <xdr:twoCellAnchor>
    <xdr:from>
      <xdr:col>11</xdr:col>
      <xdr:colOff>109537</xdr:colOff>
      <xdr:row>0</xdr:row>
      <xdr:rowOff>128586</xdr:rowOff>
    </xdr:from>
    <xdr:to>
      <xdr:col>20</xdr:col>
      <xdr:colOff>35718</xdr:colOff>
      <xdr:row>24</xdr:row>
      <xdr:rowOff>59531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C48276-A732-4C14-DF8B-465EF5363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21430</xdr:colOff>
      <xdr:row>10</xdr:row>
      <xdr:rowOff>180974</xdr:rowOff>
    </xdr:from>
    <xdr:to>
      <xdr:col>7</xdr:col>
      <xdr:colOff>399027</xdr:colOff>
      <xdr:row>18</xdr:row>
      <xdr:rowOff>171449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2EBBCD-67C1-4718-B41D-2B30D4C49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7430" y="2085974"/>
          <a:ext cx="3425597" cy="1514475"/>
        </a:xfrm>
        <a:prstGeom prst="rect">
          <a:avLst/>
        </a:prstGeom>
      </xdr:spPr>
    </xdr:pic>
    <xdr:clientData/>
  </xdr:twoCellAnchor>
  <xdr:twoCellAnchor>
    <xdr:from>
      <xdr:col>11</xdr:col>
      <xdr:colOff>746017</xdr:colOff>
      <xdr:row>1</xdr:row>
      <xdr:rowOff>1048</xdr:rowOff>
    </xdr:from>
    <xdr:to>
      <xdr:col>20</xdr:col>
      <xdr:colOff>672198</xdr:colOff>
      <xdr:row>24</xdr:row>
      <xdr:rowOff>122493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C3FB97-B7AD-49D5-91BE-A2EA98C1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38342</xdr:colOff>
      <xdr:row>26</xdr:row>
      <xdr:rowOff>11907</xdr:rowOff>
    </xdr:from>
    <xdr:to>
      <xdr:col>20</xdr:col>
      <xdr:colOff>723294</xdr:colOff>
      <xdr:row>49</xdr:row>
      <xdr:rowOff>133352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950390-794F-4992-853B-7F4360C08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242161</xdr:colOff>
      <xdr:row>0</xdr:row>
      <xdr:rowOff>113008</xdr:rowOff>
    </xdr:from>
    <xdr:to>
      <xdr:col>34</xdr:col>
      <xdr:colOff>171572</xdr:colOff>
      <xdr:row>24</xdr:row>
      <xdr:rowOff>40723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B03B79-BC6D-4780-9768-EA3BBA552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274449</xdr:colOff>
      <xdr:row>24</xdr:row>
      <xdr:rowOff>161440</xdr:rowOff>
    </xdr:from>
    <xdr:to>
      <xdr:col>34</xdr:col>
      <xdr:colOff>203860</xdr:colOff>
      <xdr:row>48</xdr:row>
      <xdr:rowOff>89156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E3F199-44EE-4C41-B7AE-8A26B0647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A6E6-5AE3-4699-8AC0-40A3F9768E63}">
  <dimension ref="A1:K12"/>
  <sheetViews>
    <sheetView zoomScale="80" zoomScaleNormal="80" workbookViewId="0">
      <selection sqref="A1:B10"/>
    </sheetView>
  </sheetViews>
  <sheetFormatPr baseColWidth="10" defaultRowHeight="15" x14ac:dyDescent="0.25"/>
  <sheetData>
    <row r="1" spans="1:11" x14ac:dyDescent="0.25">
      <c r="A1" t="s">
        <v>0</v>
      </c>
      <c r="B1" t="s">
        <v>8</v>
      </c>
      <c r="C1" t="s">
        <v>7</v>
      </c>
      <c r="D1" t="s">
        <v>6</v>
      </c>
      <c r="E1" s="1" t="s">
        <v>5</v>
      </c>
      <c r="F1" s="1" t="s">
        <v>10</v>
      </c>
      <c r="G1" t="s">
        <v>4</v>
      </c>
      <c r="H1" t="s">
        <v>9</v>
      </c>
      <c r="I1" t="s">
        <v>1</v>
      </c>
      <c r="J1" t="s">
        <v>2</v>
      </c>
      <c r="K1" t="s">
        <v>3</v>
      </c>
    </row>
    <row r="2" spans="1:11" x14ac:dyDescent="0.25">
      <c r="A2">
        <v>0.25</v>
      </c>
      <c r="B2">
        <f>1-A2</f>
        <v>0.75</v>
      </c>
      <c r="C2">
        <f>A2</f>
        <v>0.25</v>
      </c>
      <c r="D2">
        <f>B2</f>
        <v>0.75</v>
      </c>
      <c r="E2" s="1">
        <f>C2</f>
        <v>0.25</v>
      </c>
      <c r="F2" s="1">
        <f>D2</f>
        <v>0.75</v>
      </c>
      <c r="G2">
        <v>0.74</v>
      </c>
      <c r="H2">
        <v>1</v>
      </c>
      <c r="I2">
        <f>$G$2*((A2-$C$2)/(1-$C$2-$B$12))^$K$2</f>
        <v>0</v>
      </c>
      <c r="J2">
        <f>$H$2*((B2-$C$2)/(1-$C$2-$B$12))^$K$2</f>
        <v>1</v>
      </c>
      <c r="K2">
        <v>2</v>
      </c>
    </row>
    <row r="3" spans="1:11" x14ac:dyDescent="0.25">
      <c r="A3">
        <v>0.3</v>
      </c>
      <c r="B3">
        <f t="shared" ref="B3:B12" si="0">1-A3</f>
        <v>0.7</v>
      </c>
      <c r="I3">
        <f t="shared" ref="I3:I12" si="1">$G$2*((A3-$C$2)/(1-$C$2-$B$12))^$K$2</f>
        <v>7.399999999999996E-3</v>
      </c>
      <c r="J3">
        <f t="shared" ref="J3:J12" si="2">$H$2*((B3-$C$2)/(1-$C$2-$B$12))^$K$2</f>
        <v>0.80999999999999983</v>
      </c>
    </row>
    <row r="4" spans="1:11" x14ac:dyDescent="0.25">
      <c r="A4">
        <v>0.35</v>
      </c>
      <c r="B4">
        <f t="shared" si="0"/>
        <v>0.65</v>
      </c>
      <c r="I4">
        <f t="shared" si="1"/>
        <v>2.9599999999999984E-2</v>
      </c>
      <c r="J4">
        <f t="shared" si="2"/>
        <v>0.64000000000000012</v>
      </c>
    </row>
    <row r="5" spans="1:11" x14ac:dyDescent="0.25">
      <c r="A5">
        <v>0.4</v>
      </c>
      <c r="B5">
        <f t="shared" si="0"/>
        <v>0.6</v>
      </c>
      <c r="I5">
        <f t="shared" si="1"/>
        <v>6.660000000000002E-2</v>
      </c>
      <c r="J5">
        <f t="shared" si="2"/>
        <v>0.48999999999999994</v>
      </c>
    </row>
    <row r="6" spans="1:11" x14ac:dyDescent="0.25">
      <c r="A6">
        <v>0.45</v>
      </c>
      <c r="B6">
        <f t="shared" si="0"/>
        <v>0.55000000000000004</v>
      </c>
      <c r="I6">
        <f t="shared" si="1"/>
        <v>0.11840000000000002</v>
      </c>
      <c r="J6">
        <f t="shared" si="2"/>
        <v>0.3600000000000001</v>
      </c>
    </row>
    <row r="7" spans="1:11" x14ac:dyDescent="0.25">
      <c r="A7">
        <v>0.5</v>
      </c>
      <c r="B7">
        <f t="shared" si="0"/>
        <v>0.5</v>
      </c>
      <c r="I7">
        <f t="shared" si="1"/>
        <v>0.185</v>
      </c>
      <c r="J7">
        <f t="shared" si="2"/>
        <v>0.25</v>
      </c>
    </row>
    <row r="8" spans="1:11" x14ac:dyDescent="0.25">
      <c r="A8">
        <v>0.55000000000000004</v>
      </c>
      <c r="B8">
        <f t="shared" si="0"/>
        <v>0.44999999999999996</v>
      </c>
      <c r="I8">
        <f t="shared" si="1"/>
        <v>0.26640000000000008</v>
      </c>
      <c r="J8">
        <f t="shared" si="2"/>
        <v>0.15999999999999992</v>
      </c>
    </row>
    <row r="9" spans="1:11" x14ac:dyDescent="0.25">
      <c r="A9">
        <v>0.6</v>
      </c>
      <c r="B9">
        <f t="shared" si="0"/>
        <v>0.4</v>
      </c>
      <c r="I9">
        <f t="shared" si="1"/>
        <v>0.36259999999999992</v>
      </c>
      <c r="J9">
        <f t="shared" si="2"/>
        <v>9.0000000000000024E-2</v>
      </c>
    </row>
    <row r="10" spans="1:11" x14ac:dyDescent="0.25">
      <c r="A10">
        <v>0.65</v>
      </c>
      <c r="B10">
        <f t="shared" si="0"/>
        <v>0.35</v>
      </c>
      <c r="I10">
        <f t="shared" si="1"/>
        <v>0.47360000000000008</v>
      </c>
      <c r="J10">
        <f t="shared" si="2"/>
        <v>3.999999999999998E-2</v>
      </c>
    </row>
    <row r="11" spans="1:11" x14ac:dyDescent="0.25">
      <c r="A11">
        <v>0.7</v>
      </c>
      <c r="B11">
        <f t="shared" si="0"/>
        <v>0.30000000000000004</v>
      </c>
      <c r="I11">
        <f t="shared" si="1"/>
        <v>0.59939999999999982</v>
      </c>
      <c r="J11">
        <f t="shared" si="2"/>
        <v>1.0000000000000018E-2</v>
      </c>
    </row>
    <row r="12" spans="1:11" x14ac:dyDescent="0.25">
      <c r="A12">
        <v>0.75</v>
      </c>
      <c r="B12">
        <f t="shared" si="0"/>
        <v>0.25</v>
      </c>
      <c r="I12">
        <f t="shared" si="1"/>
        <v>0.74</v>
      </c>
      <c r="J12">
        <f t="shared" si="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F4CC-A64C-44CF-8692-4C2EB96A28DE}">
  <dimension ref="A1:X36"/>
  <sheetViews>
    <sheetView tabSelected="1" topLeftCell="Q1" zoomScale="71" zoomScaleNormal="71" workbookViewId="0">
      <selection activeCell="AK11" sqref="AK11"/>
    </sheetView>
  </sheetViews>
  <sheetFormatPr baseColWidth="10" defaultRowHeight="15" x14ac:dyDescent="0.25"/>
  <cols>
    <col min="24" max="24" width="15.5703125" bestFit="1" customWidth="1"/>
  </cols>
  <sheetData>
    <row r="1" spans="1:24" x14ac:dyDescent="0.25">
      <c r="A1" t="s">
        <v>0</v>
      </c>
      <c r="B1" t="s">
        <v>8</v>
      </c>
      <c r="C1" t="s">
        <v>7</v>
      </c>
      <c r="D1" t="s">
        <v>6</v>
      </c>
      <c r="E1" s="1" t="s">
        <v>5</v>
      </c>
      <c r="F1" s="1" t="s">
        <v>10</v>
      </c>
      <c r="G1" t="s">
        <v>4</v>
      </c>
      <c r="H1" t="s">
        <v>9</v>
      </c>
      <c r="I1" t="s">
        <v>1</v>
      </c>
      <c r="J1" t="s">
        <v>2</v>
      </c>
      <c r="K1" t="s">
        <v>3</v>
      </c>
      <c r="W1" t="s">
        <v>11</v>
      </c>
      <c r="X1" t="s">
        <v>12</v>
      </c>
    </row>
    <row r="2" spans="1:24" x14ac:dyDescent="0.25">
      <c r="A2">
        <v>0</v>
      </c>
      <c r="B2">
        <f>1-A2</f>
        <v>1</v>
      </c>
      <c r="C2">
        <f>A2</f>
        <v>0</v>
      </c>
      <c r="D2">
        <f>B2</f>
        <v>1</v>
      </c>
      <c r="E2" s="1">
        <f>C2</f>
        <v>0</v>
      </c>
      <c r="F2" s="1">
        <f>D2</f>
        <v>1</v>
      </c>
      <c r="G2">
        <v>0.74</v>
      </c>
      <c r="H2">
        <v>1</v>
      </c>
      <c r="I2">
        <f>(A2)^$K$2</f>
        <v>0</v>
      </c>
      <c r="J2">
        <f>(B2)^$K$2</f>
        <v>1</v>
      </c>
      <c r="K2">
        <v>1</v>
      </c>
      <c r="W2">
        <f>I2+J2</f>
        <v>1</v>
      </c>
      <c r="X2">
        <f>I17+J17</f>
        <v>1</v>
      </c>
    </row>
    <row r="3" spans="1:24" x14ac:dyDescent="0.25">
      <c r="A3">
        <v>0.1</v>
      </c>
      <c r="B3">
        <f t="shared" ref="B3:B12" si="0">1-A3</f>
        <v>0.9</v>
      </c>
      <c r="I3">
        <f t="shared" ref="I3:I12" si="1">(A3)^$K$2</f>
        <v>0.1</v>
      </c>
      <c r="J3">
        <f t="shared" ref="J3:J12" si="2">(B3)^$K$2</f>
        <v>0.9</v>
      </c>
      <c r="W3">
        <f t="shared" ref="W3:W12" si="3">I3+J3</f>
        <v>1</v>
      </c>
      <c r="X3">
        <f t="shared" ref="X3:X12" si="4">I18+J18</f>
        <v>0.73000000000000009</v>
      </c>
    </row>
    <row r="4" spans="1:24" x14ac:dyDescent="0.25">
      <c r="A4">
        <v>0.2</v>
      </c>
      <c r="B4">
        <f t="shared" si="0"/>
        <v>0.8</v>
      </c>
      <c r="I4">
        <f t="shared" si="1"/>
        <v>0.2</v>
      </c>
      <c r="J4">
        <f t="shared" si="2"/>
        <v>0.8</v>
      </c>
      <c r="W4">
        <f t="shared" si="3"/>
        <v>1</v>
      </c>
      <c r="X4">
        <f t="shared" si="4"/>
        <v>0.52000000000000013</v>
      </c>
    </row>
    <row r="5" spans="1:24" x14ac:dyDescent="0.25">
      <c r="A5">
        <v>0.3</v>
      </c>
      <c r="B5">
        <f t="shared" si="0"/>
        <v>0.7</v>
      </c>
      <c r="I5">
        <f t="shared" si="1"/>
        <v>0.3</v>
      </c>
      <c r="J5">
        <f t="shared" si="2"/>
        <v>0.7</v>
      </c>
      <c r="W5">
        <f t="shared" si="3"/>
        <v>1</v>
      </c>
      <c r="X5">
        <f t="shared" si="4"/>
        <v>0.36999999999999994</v>
      </c>
    </row>
    <row r="6" spans="1:24" x14ac:dyDescent="0.25">
      <c r="A6">
        <v>0.4</v>
      </c>
      <c r="B6">
        <f t="shared" si="0"/>
        <v>0.6</v>
      </c>
      <c r="I6">
        <f t="shared" si="1"/>
        <v>0.4</v>
      </c>
      <c r="J6">
        <f t="shared" si="2"/>
        <v>0.6</v>
      </c>
      <c r="W6">
        <f t="shared" si="3"/>
        <v>1</v>
      </c>
      <c r="X6">
        <f t="shared" si="4"/>
        <v>0.28000000000000003</v>
      </c>
    </row>
    <row r="7" spans="1:24" x14ac:dyDescent="0.25">
      <c r="A7">
        <v>0.5</v>
      </c>
      <c r="B7">
        <f t="shared" si="0"/>
        <v>0.5</v>
      </c>
      <c r="I7">
        <f t="shared" si="1"/>
        <v>0.5</v>
      </c>
      <c r="J7">
        <f t="shared" si="2"/>
        <v>0.5</v>
      </c>
      <c r="W7">
        <f t="shared" si="3"/>
        <v>1</v>
      </c>
      <c r="X7">
        <f t="shared" si="4"/>
        <v>0.25</v>
      </c>
    </row>
    <row r="8" spans="1:24" x14ac:dyDescent="0.25">
      <c r="A8">
        <v>0.6</v>
      </c>
      <c r="B8">
        <f t="shared" si="0"/>
        <v>0.4</v>
      </c>
      <c r="I8">
        <f t="shared" si="1"/>
        <v>0.6</v>
      </c>
      <c r="J8">
        <f t="shared" si="2"/>
        <v>0.4</v>
      </c>
      <c r="W8">
        <f t="shared" si="3"/>
        <v>1</v>
      </c>
      <c r="X8">
        <f t="shared" si="4"/>
        <v>0.28000000000000003</v>
      </c>
    </row>
    <row r="9" spans="1:24" x14ac:dyDescent="0.25">
      <c r="A9">
        <v>0.7</v>
      </c>
      <c r="B9">
        <f t="shared" si="0"/>
        <v>0.30000000000000004</v>
      </c>
      <c r="I9">
        <f t="shared" si="1"/>
        <v>0.7</v>
      </c>
      <c r="J9">
        <f t="shared" si="2"/>
        <v>0.30000000000000004</v>
      </c>
      <c r="W9">
        <f t="shared" si="3"/>
        <v>1</v>
      </c>
      <c r="X9">
        <f t="shared" si="4"/>
        <v>0.36999999999999994</v>
      </c>
    </row>
    <row r="10" spans="1:24" x14ac:dyDescent="0.25">
      <c r="A10">
        <v>0.8</v>
      </c>
      <c r="B10">
        <f t="shared" si="0"/>
        <v>0.19999999999999996</v>
      </c>
      <c r="I10">
        <f t="shared" si="1"/>
        <v>0.8</v>
      </c>
      <c r="J10">
        <f t="shared" si="2"/>
        <v>0.19999999999999996</v>
      </c>
      <c r="W10">
        <f t="shared" si="3"/>
        <v>1</v>
      </c>
      <c r="X10">
        <f t="shared" si="4"/>
        <v>0.52000000000000013</v>
      </c>
    </row>
    <row r="11" spans="1:24" x14ac:dyDescent="0.25">
      <c r="A11">
        <v>0.9</v>
      </c>
      <c r="B11">
        <f t="shared" si="0"/>
        <v>9.9999999999999978E-2</v>
      </c>
      <c r="I11">
        <f t="shared" si="1"/>
        <v>0.9</v>
      </c>
      <c r="J11">
        <f t="shared" si="2"/>
        <v>9.9999999999999978E-2</v>
      </c>
      <c r="W11">
        <f t="shared" si="3"/>
        <v>1</v>
      </c>
      <c r="X11">
        <f t="shared" si="4"/>
        <v>0.73000000000000009</v>
      </c>
    </row>
    <row r="12" spans="1:24" x14ac:dyDescent="0.25">
      <c r="A12">
        <v>1</v>
      </c>
      <c r="B12">
        <f t="shared" si="0"/>
        <v>0</v>
      </c>
      <c r="I12">
        <f t="shared" si="1"/>
        <v>1</v>
      </c>
      <c r="J12">
        <f t="shared" si="2"/>
        <v>0</v>
      </c>
      <c r="W12">
        <f t="shared" si="3"/>
        <v>1</v>
      </c>
      <c r="X12">
        <f t="shared" si="4"/>
        <v>1</v>
      </c>
    </row>
    <row r="16" spans="1:24" x14ac:dyDescent="0.25">
      <c r="I16" t="s">
        <v>1</v>
      </c>
      <c r="J16" t="s">
        <v>2</v>
      </c>
      <c r="K16" t="s">
        <v>3</v>
      </c>
    </row>
    <row r="17" spans="9:23" x14ac:dyDescent="0.25">
      <c r="I17">
        <f>(A2)^$K$17</f>
        <v>0</v>
      </c>
      <c r="J17">
        <f>(B2)^$K$17</f>
        <v>1</v>
      </c>
      <c r="K17">
        <v>3</v>
      </c>
    </row>
    <row r="18" spans="9:23" x14ac:dyDescent="0.25">
      <c r="I18">
        <f>(A3)^$K$17</f>
        <v>1.0000000000000002E-3</v>
      </c>
      <c r="J18">
        <f>(B3)^$K$17</f>
        <v>0.72900000000000009</v>
      </c>
    </row>
    <row r="19" spans="9:23" x14ac:dyDescent="0.25">
      <c r="I19">
        <f>(A4)^$K$17</f>
        <v>8.0000000000000019E-3</v>
      </c>
      <c r="J19">
        <f>(B4)^$K$17</f>
        <v>0.51200000000000012</v>
      </c>
    </row>
    <row r="20" spans="9:23" x14ac:dyDescent="0.25">
      <c r="I20">
        <f>(A5)^$K$17</f>
        <v>2.7E-2</v>
      </c>
      <c r="J20">
        <f>(B5)^$K$17</f>
        <v>0.34299999999999992</v>
      </c>
    </row>
    <row r="21" spans="9:23" x14ac:dyDescent="0.25">
      <c r="I21">
        <f>(A6)^$K$17</f>
        <v>6.4000000000000015E-2</v>
      </c>
      <c r="J21">
        <f>(B6)^$K$17</f>
        <v>0.216</v>
      </c>
    </row>
    <row r="22" spans="9:23" x14ac:dyDescent="0.25">
      <c r="I22">
        <f>(A7)^$K$17</f>
        <v>0.125</v>
      </c>
      <c r="J22">
        <f>(B7)^$K$17</f>
        <v>0.125</v>
      </c>
    </row>
    <row r="23" spans="9:23" x14ac:dyDescent="0.25">
      <c r="I23">
        <f>(A8)^$K$17</f>
        <v>0.216</v>
      </c>
      <c r="J23">
        <f>(B8)^$K$17</f>
        <v>6.4000000000000015E-2</v>
      </c>
    </row>
    <row r="24" spans="9:23" x14ac:dyDescent="0.25">
      <c r="I24">
        <f>(A9)^$K$17</f>
        <v>0.34299999999999992</v>
      </c>
      <c r="J24">
        <f>(B9)^$K$17</f>
        <v>2.700000000000001E-2</v>
      </c>
    </row>
    <row r="25" spans="9:23" x14ac:dyDescent="0.25">
      <c r="I25">
        <f>(A10)^$K$17</f>
        <v>0.51200000000000012</v>
      </c>
      <c r="J25">
        <f>(B10)^$K$17</f>
        <v>7.999999999999995E-3</v>
      </c>
      <c r="V25" t="s">
        <v>11</v>
      </c>
      <c r="W25" t="s">
        <v>12</v>
      </c>
    </row>
    <row r="26" spans="9:23" x14ac:dyDescent="0.25">
      <c r="I26">
        <f>(A11)^$K$17</f>
        <v>0.72900000000000009</v>
      </c>
      <c r="J26">
        <f>(B11)^$K$17</f>
        <v>9.9999999999999937E-4</v>
      </c>
      <c r="V26">
        <f>I2/W2</f>
        <v>0</v>
      </c>
      <c r="W26">
        <f>I17/X2</f>
        <v>0</v>
      </c>
    </row>
    <row r="27" spans="9:23" x14ac:dyDescent="0.25">
      <c r="I27">
        <f>(A12)^$K$17</f>
        <v>1</v>
      </c>
      <c r="J27">
        <f>(B12)^$K$17</f>
        <v>0</v>
      </c>
      <c r="V27">
        <f t="shared" ref="V27:V36" si="5">I3/W3</f>
        <v>0.1</v>
      </c>
      <c r="W27">
        <f t="shared" ref="W27:W36" si="6">I18/X3</f>
        <v>1.3698630136986304E-3</v>
      </c>
    </row>
    <row r="28" spans="9:23" x14ac:dyDescent="0.25">
      <c r="V28">
        <f t="shared" si="5"/>
        <v>0.2</v>
      </c>
      <c r="W28">
        <f t="shared" si="6"/>
        <v>1.5384615384615384E-2</v>
      </c>
    </row>
    <row r="29" spans="9:23" x14ac:dyDescent="0.25">
      <c r="V29">
        <f t="shared" si="5"/>
        <v>0.3</v>
      </c>
      <c r="W29">
        <f t="shared" si="6"/>
        <v>7.2972972972972991E-2</v>
      </c>
    </row>
    <row r="30" spans="9:23" x14ac:dyDescent="0.25">
      <c r="V30">
        <f t="shared" si="5"/>
        <v>0.4</v>
      </c>
      <c r="W30">
        <f t="shared" si="6"/>
        <v>0.22857142857142859</v>
      </c>
    </row>
    <row r="31" spans="9:23" x14ac:dyDescent="0.25">
      <c r="V31">
        <f t="shared" si="5"/>
        <v>0.5</v>
      </c>
      <c r="W31">
        <f t="shared" si="6"/>
        <v>0.5</v>
      </c>
    </row>
    <row r="32" spans="9:23" x14ac:dyDescent="0.25">
      <c r="V32">
        <f t="shared" si="5"/>
        <v>0.6</v>
      </c>
      <c r="W32">
        <f t="shared" si="6"/>
        <v>0.77142857142857135</v>
      </c>
    </row>
    <row r="33" spans="22:23" x14ac:dyDescent="0.25">
      <c r="V33">
        <f t="shared" si="5"/>
        <v>0.7</v>
      </c>
      <c r="W33">
        <f t="shared" si="6"/>
        <v>0.927027027027027</v>
      </c>
    </row>
    <row r="34" spans="22:23" x14ac:dyDescent="0.25">
      <c r="V34">
        <f t="shared" si="5"/>
        <v>0.8</v>
      </c>
      <c r="W34">
        <f t="shared" si="6"/>
        <v>0.98461538461538456</v>
      </c>
    </row>
    <row r="35" spans="22:23" x14ac:dyDescent="0.25">
      <c r="V35">
        <f t="shared" si="5"/>
        <v>0.9</v>
      </c>
      <c r="W35">
        <f t="shared" si="6"/>
        <v>0.99863013698630132</v>
      </c>
    </row>
    <row r="36" spans="22:23" x14ac:dyDescent="0.25">
      <c r="V36">
        <f t="shared" si="5"/>
        <v>1</v>
      </c>
      <c r="W36">
        <f t="shared" si="6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garcia navarrete</dc:creator>
  <cp:lastModifiedBy>Luis Armando garcia navarrete</cp:lastModifiedBy>
  <dcterms:created xsi:type="dcterms:W3CDTF">2025-09-11T21:00:13Z</dcterms:created>
  <dcterms:modified xsi:type="dcterms:W3CDTF">2025-09-22T21:02:07Z</dcterms:modified>
</cp:coreProperties>
</file>