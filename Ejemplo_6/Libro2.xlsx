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_\Codigo\Darts_new\Ejemplo_1_4\"/>
    </mc:Choice>
  </mc:AlternateContent>
  <xr:revisionPtr revIDLastSave="0" documentId="13_ncr:1_{9D844E6C-E242-4401-9C9E-6EAF308BA8DC}" xr6:coauthVersionLast="47" xr6:coauthVersionMax="47" xr10:uidLastSave="{00000000-0000-0000-0000-000000000000}"/>
  <bookViews>
    <workbookView xWindow="-120" yWindow="-120" windowWidth="20730" windowHeight="11040" activeTab="2" xr2:uid="{7B306709-421C-49E3-8A96-5A2F17C9685E}"/>
  </bookViews>
  <sheets>
    <sheet name="caso 1 (2)" sheetId="3" r:id="rId1"/>
    <sheet name="caso 2 (2)" sheetId="4" r:id="rId2"/>
    <sheet name="Hoja2" sheetId="6" r:id="rId3"/>
    <sheet name="Hoja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6" l="1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" i="6"/>
  <c r="E34" i="3"/>
  <c r="D34" i="3"/>
  <c r="E33" i="3"/>
  <c r="D33" i="3"/>
  <c r="D32" i="3"/>
  <c r="E32" i="3" s="1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2" i="4"/>
</calcChain>
</file>

<file path=xl/sharedStrings.xml><?xml version="1.0" encoding="utf-8"?>
<sst xmlns="http://schemas.openxmlformats.org/spreadsheetml/2006/main" count="12" uniqueCount="7">
  <si>
    <t>time</t>
  </si>
  <si>
    <t>water</t>
  </si>
  <si>
    <t>steam</t>
  </si>
  <si>
    <t>total</t>
  </si>
  <si>
    <t>% agua</t>
  </si>
  <si>
    <t>n=1</t>
  </si>
  <si>
    <t>n=3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</si>
</sst>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6313638443538"/>
          <c:y val="0.11722540580233906"/>
          <c:w val="0.84499051043551643"/>
          <c:h val="0.84920603263335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'caso 1 (2)'!$B$1</c:f>
              <c:strCache>
                <c:ptCount val="1"/>
                <c:pt idx="0">
                  <c:v>water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'caso 1 (2)'!$A$18:$A$34</c:f>
              <c:numCache>
                <c:formatCode>General</c:formatCode>
                <c:ptCount val="17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50</c:v>
                </c:pt>
                <c:pt idx="7">
                  <c:v>98.544874496000006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  <c:pt idx="13">
                  <c:v>350</c:v>
                </c:pt>
                <c:pt idx="14">
                  <c:v>400</c:v>
                </c:pt>
                <c:pt idx="15">
                  <c:v>450</c:v>
                </c:pt>
                <c:pt idx="16">
                  <c:v>500</c:v>
                </c:pt>
              </c:numCache>
            </c:numRef>
          </c:xVal>
          <c:yVal>
            <c:numRef>
              <c:f>'caso 1 (2)'!$B$18:$B$34</c:f>
              <c:numCache>
                <c:formatCode>General</c:formatCode>
                <c:ptCount val="17"/>
                <c:pt idx="0">
                  <c:v>-564.6856940786605</c:v>
                </c:pt>
                <c:pt idx="1">
                  <c:v>-536.21816587795286</c:v>
                </c:pt>
                <c:pt idx="2">
                  <c:v>-559.46155193858783</c:v>
                </c:pt>
                <c:pt idx="3">
                  <c:v>-603.63737491333075</c:v>
                </c:pt>
                <c:pt idx="4">
                  <c:v>-655.99177555465212</c:v>
                </c:pt>
                <c:pt idx="5">
                  <c:v>-711.57571736941907</c:v>
                </c:pt>
                <c:pt idx="6">
                  <c:v>-713.55537229648007</c:v>
                </c:pt>
                <c:pt idx="7">
                  <c:v>-768.22621836428948</c:v>
                </c:pt>
                <c:pt idx="8">
                  <c:v>-768.73963976685195</c:v>
                </c:pt>
                <c:pt idx="9">
                  <c:v>-802.08776703781098</c:v>
                </c:pt>
                <c:pt idx="10">
                  <c:v>-824.12811545639443</c:v>
                </c:pt>
                <c:pt idx="11">
                  <c:v>-840.4058869938724</c:v>
                </c:pt>
                <c:pt idx="12">
                  <c:v>-852.87489717251026</c:v>
                </c:pt>
                <c:pt idx="13">
                  <c:v>-862.66837713713846</c:v>
                </c:pt>
                <c:pt idx="14">
                  <c:v>-870.52878517869487</c:v>
                </c:pt>
                <c:pt idx="15">
                  <c:v>-877.03847254935067</c:v>
                </c:pt>
                <c:pt idx="16">
                  <c:v>-882.59590878633878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63-4602-A446-72C0BE1DA004}"/>
            </c:ext>
          </c:extLst>
        </c:ser>
        <c:ser>
          <c:idx val="1"/>
          <c:order val="1"/>
          <c:tx>
            <c:strRef>
              <c:f>'caso 1 (2)'!$C$1</c:f>
              <c:strCache>
                <c:ptCount val="1"/>
                <c:pt idx="0">
                  <c:v>steam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'caso 1 (2)'!$A$18:$A$34</c:f>
              <c:numCache>
                <c:formatCode>General</c:formatCode>
                <c:ptCount val="17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50</c:v>
                </c:pt>
                <c:pt idx="7">
                  <c:v>98.544874496000006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  <c:pt idx="13">
                  <c:v>350</c:v>
                </c:pt>
                <c:pt idx="14">
                  <c:v>400</c:v>
                </c:pt>
                <c:pt idx="15">
                  <c:v>450</c:v>
                </c:pt>
                <c:pt idx="16">
                  <c:v>500</c:v>
                </c:pt>
              </c:numCache>
            </c:numRef>
          </c:xVal>
          <c:yVal>
            <c:numRef>
              <c:f>'caso 1 (2)'!$C$18:$C$34</c:f>
              <c:numCache>
                <c:formatCode>General</c:formatCode>
                <c:ptCount val="17"/>
                <c:pt idx="0">
                  <c:v>-16109.666405909909</c:v>
                </c:pt>
                <c:pt idx="1">
                  <c:v>-11658.914025715079</c:v>
                </c:pt>
                <c:pt idx="2">
                  <c:v>-8293.8800637700842</c:v>
                </c:pt>
                <c:pt idx="3">
                  <c:v>-5818.9704819659073</c:v>
                </c:pt>
                <c:pt idx="4">
                  <c:v>-4029.3451584264958</c:v>
                </c:pt>
                <c:pt idx="5">
                  <c:v>-2754.8307528856758</c:v>
                </c:pt>
                <c:pt idx="6">
                  <c:v>-2686.6159718659501</c:v>
                </c:pt>
                <c:pt idx="7">
                  <c:v>-1840.581843608988</c:v>
                </c:pt>
                <c:pt idx="8">
                  <c:v>-1817.6261793824269</c:v>
                </c:pt>
                <c:pt idx="9">
                  <c:v>-1416.5796667066741</c:v>
                </c:pt>
                <c:pt idx="10">
                  <c:v>-1187.6989948908611</c:v>
                </c:pt>
                <c:pt idx="11">
                  <c:v>-1041.962939342872</c:v>
                </c:pt>
                <c:pt idx="12">
                  <c:v>-942.78678779639517</c:v>
                </c:pt>
                <c:pt idx="13">
                  <c:v>-872.27059230721875</c:v>
                </c:pt>
                <c:pt idx="14">
                  <c:v>-820.27683763815844</c:v>
                </c:pt>
                <c:pt idx="15">
                  <c:v>-780.54737047858043</c:v>
                </c:pt>
                <c:pt idx="16">
                  <c:v>-749.35091366343806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63-4602-A446-72C0BE1DA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388463"/>
        <c:axId val="1879389423"/>
      </c:scatterChart>
      <c:valAx>
        <c:axId val="1879388463"/>
        <c:scaling>
          <c:orientation val="minMax"/>
          <c:max val="50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(dias)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9389423"/>
        <c:crosses val="max"/>
        <c:crossBetween val="midCat"/>
      </c:valAx>
      <c:valAx>
        <c:axId val="187938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gasto volumetricco (m3/dia)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9388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6313638443538"/>
          <c:y val="0.11722540580233906"/>
          <c:w val="0.84499051043551643"/>
          <c:h val="0.84920603263335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'caso 2 (2)'!$B$1</c:f>
              <c:strCache>
                <c:ptCount val="1"/>
                <c:pt idx="0">
                  <c:v>water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'caso 2 (2)'!$A$18:$A$34</c:f>
              <c:numCache>
                <c:formatCode>General</c:formatCode>
                <c:ptCount val="17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50</c:v>
                </c:pt>
                <c:pt idx="7">
                  <c:v>98.544874496000006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  <c:pt idx="13">
                  <c:v>350</c:v>
                </c:pt>
                <c:pt idx="14">
                  <c:v>400</c:v>
                </c:pt>
                <c:pt idx="15">
                  <c:v>450</c:v>
                </c:pt>
                <c:pt idx="16">
                  <c:v>500</c:v>
                </c:pt>
              </c:numCache>
            </c:numRef>
          </c:xVal>
          <c:yVal>
            <c:numRef>
              <c:f>'caso 2 (2)'!$B$18:$B$34</c:f>
              <c:numCache>
                <c:formatCode>General</c:formatCode>
                <c:ptCount val="17"/>
                <c:pt idx="0">
                  <c:v>-502.32550354242778</c:v>
                </c:pt>
                <c:pt idx="1">
                  <c:v>-563.83267832167132</c:v>
                </c:pt>
                <c:pt idx="2">
                  <c:v>-626.41454312862925</c:v>
                </c:pt>
                <c:pt idx="3">
                  <c:v>-678.88886064905876</c:v>
                </c:pt>
                <c:pt idx="4">
                  <c:v>-717.81071712294874</c:v>
                </c:pt>
                <c:pt idx="5">
                  <c:v>-747.0196862655506</c:v>
                </c:pt>
                <c:pt idx="6">
                  <c:v>-748.48409913181069</c:v>
                </c:pt>
                <c:pt idx="7">
                  <c:v>-770.48481735178893</c:v>
                </c:pt>
                <c:pt idx="8">
                  <c:v>-771.13917729365915</c:v>
                </c:pt>
                <c:pt idx="9">
                  <c:v>-781.84142036418086</c:v>
                </c:pt>
                <c:pt idx="10">
                  <c:v>-788.80591524289355</c:v>
                </c:pt>
                <c:pt idx="11">
                  <c:v>-793.70796387038445</c:v>
                </c:pt>
                <c:pt idx="12">
                  <c:v>-797.38847441914777</c:v>
                </c:pt>
                <c:pt idx="13">
                  <c:v>-800.30843775181154</c:v>
                </c:pt>
                <c:pt idx="14">
                  <c:v>-802.75290134703368</c:v>
                </c:pt>
                <c:pt idx="15">
                  <c:v>-804.82740726698501</c:v>
                </c:pt>
                <c:pt idx="16">
                  <c:v>-806.65971094191013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F-4EDB-B5CA-A2E15F7C32D6}"/>
            </c:ext>
          </c:extLst>
        </c:ser>
        <c:ser>
          <c:idx val="1"/>
          <c:order val="1"/>
          <c:tx>
            <c:strRef>
              <c:f>'caso 2 (2)'!$C$1</c:f>
              <c:strCache>
                <c:ptCount val="1"/>
                <c:pt idx="0">
                  <c:v>steam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'caso 2 (2)'!$A$18:$A$34</c:f>
              <c:numCache>
                <c:formatCode>General</c:formatCode>
                <c:ptCount val="17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50</c:v>
                </c:pt>
                <c:pt idx="7">
                  <c:v>98.544874496000006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  <c:pt idx="13">
                  <c:v>350</c:v>
                </c:pt>
                <c:pt idx="14">
                  <c:v>400</c:v>
                </c:pt>
                <c:pt idx="15">
                  <c:v>450</c:v>
                </c:pt>
                <c:pt idx="16">
                  <c:v>500</c:v>
                </c:pt>
              </c:numCache>
            </c:numRef>
          </c:xVal>
          <c:yVal>
            <c:numRef>
              <c:f>'caso 2 (2)'!$C$18:$C$34</c:f>
              <c:numCache>
                <c:formatCode>General</c:formatCode>
                <c:ptCount val="17"/>
                <c:pt idx="0">
                  <c:v>-8852.4827652026797</c:v>
                </c:pt>
                <c:pt idx="1">
                  <c:v>-5881.9965865795602</c:v>
                </c:pt>
                <c:pt idx="2">
                  <c:v>-3880.6800144370241</c:v>
                </c:pt>
                <c:pt idx="3">
                  <c:v>-2555.6029358873629</c:v>
                </c:pt>
                <c:pt idx="4">
                  <c:v>-1710.8508427221429</c:v>
                </c:pt>
                <c:pt idx="5">
                  <c:v>-1179.4131003637981</c:v>
                </c:pt>
                <c:pt idx="6">
                  <c:v>-1151.430445905062</c:v>
                </c:pt>
                <c:pt idx="7">
                  <c:v>-840.67092228544857</c:v>
                </c:pt>
                <c:pt idx="8">
                  <c:v>-833.07776622940833</c:v>
                </c:pt>
                <c:pt idx="9">
                  <c:v>-702.54607573078636</c:v>
                </c:pt>
                <c:pt idx="10">
                  <c:v>-633.64807252086109</c:v>
                </c:pt>
                <c:pt idx="11">
                  <c:v>-593.28935467754241</c:v>
                </c:pt>
                <c:pt idx="12">
                  <c:v>-568.27538190523467</c:v>
                </c:pt>
                <c:pt idx="13">
                  <c:v>-551.97595520602147</c:v>
                </c:pt>
                <c:pt idx="14">
                  <c:v>-540.93760701369877</c:v>
                </c:pt>
                <c:pt idx="15">
                  <c:v>-533.2690653632842</c:v>
                </c:pt>
                <c:pt idx="16">
                  <c:v>-527.73387564477616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F-4EDB-B5CA-A2E15F7C3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388463"/>
        <c:axId val="1879389423"/>
      </c:scatterChart>
      <c:valAx>
        <c:axId val="1879388463"/>
        <c:scaling>
          <c:orientation val="minMax"/>
          <c:max val="50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(dias)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9389423"/>
        <c:crosses val="max"/>
        <c:crossBetween val="midCat"/>
      </c:valAx>
      <c:valAx>
        <c:axId val="187938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gasto volumetricco (m3/dia)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9388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6313638443538"/>
          <c:y val="0.11722540580233906"/>
          <c:w val="0.84499051043551643"/>
          <c:h val="0.84920603263335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n=1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'caso 1 (2)'!$A$18:$A$34</c:f>
              <c:numCache>
                <c:formatCode>General</c:formatCode>
                <c:ptCount val="17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50</c:v>
                </c:pt>
                <c:pt idx="7">
                  <c:v>98.544874496000006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  <c:pt idx="13">
                  <c:v>350</c:v>
                </c:pt>
                <c:pt idx="14">
                  <c:v>400</c:v>
                </c:pt>
                <c:pt idx="15">
                  <c:v>450</c:v>
                </c:pt>
                <c:pt idx="16">
                  <c:v>500</c:v>
                </c:pt>
              </c:numCache>
            </c:numRef>
          </c:xVal>
          <c:yVal>
            <c:numRef>
              <c:f>'caso 1 (2)'!$D$18:$D$34</c:f>
              <c:numCache>
                <c:formatCode>General</c:formatCode>
                <c:ptCount val="17"/>
                <c:pt idx="0">
                  <c:v>-16674.35209998857</c:v>
                </c:pt>
                <c:pt idx="1">
                  <c:v>-12195.132191593033</c:v>
                </c:pt>
                <c:pt idx="2">
                  <c:v>-8853.3416157086722</c:v>
                </c:pt>
                <c:pt idx="3">
                  <c:v>-6422.6078568792382</c:v>
                </c:pt>
                <c:pt idx="4">
                  <c:v>-4685.3369339811479</c:v>
                </c:pt>
                <c:pt idx="5">
                  <c:v>-3466.406470255095</c:v>
                </c:pt>
                <c:pt idx="6">
                  <c:v>-3400.1713441624302</c:v>
                </c:pt>
                <c:pt idx="7">
                  <c:v>-2608.8080619732773</c:v>
                </c:pt>
                <c:pt idx="8">
                  <c:v>-2586.3658191492787</c:v>
                </c:pt>
                <c:pt idx="9">
                  <c:v>-2218.6674337444852</c:v>
                </c:pt>
                <c:pt idx="10">
                  <c:v>-2011.8271103472555</c:v>
                </c:pt>
                <c:pt idx="11">
                  <c:v>-1882.3688263367444</c:v>
                </c:pt>
                <c:pt idx="12">
                  <c:v>-1795.6616849689053</c:v>
                </c:pt>
                <c:pt idx="13">
                  <c:v>-1734.9389694443571</c:v>
                </c:pt>
                <c:pt idx="14">
                  <c:v>-1690.8056228168534</c:v>
                </c:pt>
                <c:pt idx="15">
                  <c:v>-1657.5858430279311</c:v>
                </c:pt>
                <c:pt idx="16">
                  <c:v>-1631.9468224497768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6A-4ADE-9034-CF915650C716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n=3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'caso 2 (2)'!$A$18:$A$34</c:f>
              <c:numCache>
                <c:formatCode>General</c:formatCode>
                <c:ptCount val="17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50</c:v>
                </c:pt>
                <c:pt idx="7">
                  <c:v>98.544874496000006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  <c:pt idx="13">
                  <c:v>350</c:v>
                </c:pt>
                <c:pt idx="14">
                  <c:v>400</c:v>
                </c:pt>
                <c:pt idx="15">
                  <c:v>450</c:v>
                </c:pt>
                <c:pt idx="16">
                  <c:v>500</c:v>
                </c:pt>
              </c:numCache>
            </c:numRef>
          </c:xVal>
          <c:yVal>
            <c:numRef>
              <c:f>'caso 2 (2)'!$D$18:$D$34</c:f>
              <c:numCache>
                <c:formatCode>General</c:formatCode>
                <c:ptCount val="17"/>
                <c:pt idx="0">
                  <c:v>-9354.8082687451079</c:v>
                </c:pt>
                <c:pt idx="1">
                  <c:v>-6445.8292649012319</c:v>
                </c:pt>
                <c:pt idx="2">
                  <c:v>-4507.0945575656533</c:v>
                </c:pt>
                <c:pt idx="3">
                  <c:v>-3234.4917965364216</c:v>
                </c:pt>
                <c:pt idx="4">
                  <c:v>-2428.6615598450917</c:v>
                </c:pt>
                <c:pt idx="5">
                  <c:v>-1926.4327866293488</c:v>
                </c:pt>
                <c:pt idx="6">
                  <c:v>-1899.9145450368728</c:v>
                </c:pt>
                <c:pt idx="7">
                  <c:v>-1611.1557396372375</c:v>
                </c:pt>
                <c:pt idx="8">
                  <c:v>-1604.2169435230676</c:v>
                </c:pt>
                <c:pt idx="9">
                  <c:v>-1484.3874960949672</c:v>
                </c:pt>
                <c:pt idx="10">
                  <c:v>-1422.4539877637546</c:v>
                </c:pt>
                <c:pt idx="11">
                  <c:v>-1386.9973185479269</c:v>
                </c:pt>
                <c:pt idx="12">
                  <c:v>-1365.6638563243823</c:v>
                </c:pt>
                <c:pt idx="13">
                  <c:v>-1352.284392957833</c:v>
                </c:pt>
                <c:pt idx="14">
                  <c:v>-1343.6905083607326</c:v>
                </c:pt>
                <c:pt idx="15">
                  <c:v>-1338.0964726302691</c:v>
                </c:pt>
                <c:pt idx="16">
                  <c:v>-1334.3935865866863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6A-4ADE-9034-CF915650C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388463"/>
        <c:axId val="1879389423"/>
      </c:scatterChart>
      <c:valAx>
        <c:axId val="1879388463"/>
        <c:scaling>
          <c:orientation val="minMax"/>
          <c:max val="50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(dias)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9389423"/>
        <c:crosses val="max"/>
        <c:crossBetween val="midCat"/>
      </c:valAx>
      <c:valAx>
        <c:axId val="187938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gasto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9388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6313638443538"/>
          <c:y val="0.11722540580233906"/>
          <c:w val="0.84499051043551643"/>
          <c:h val="0.84920603263335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n=1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'caso 1 (2)'!$A$18:$A$34</c:f>
              <c:numCache>
                <c:formatCode>General</c:formatCode>
                <c:ptCount val="17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50</c:v>
                </c:pt>
                <c:pt idx="7">
                  <c:v>98.544874496000006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  <c:pt idx="13">
                  <c:v>350</c:v>
                </c:pt>
                <c:pt idx="14">
                  <c:v>400</c:v>
                </c:pt>
                <c:pt idx="15">
                  <c:v>450</c:v>
                </c:pt>
                <c:pt idx="16">
                  <c:v>500</c:v>
                </c:pt>
              </c:numCache>
            </c:numRef>
          </c:xVal>
          <c:yVal>
            <c:numRef>
              <c:f>Hoja2!$T$1:$T$17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02-4635-8274-2C2A443F0A76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n=3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'caso 2 (2)'!$A$18:$A$34</c:f>
              <c:numCache>
                <c:formatCode>General</c:formatCode>
                <c:ptCount val="17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50</c:v>
                </c:pt>
                <c:pt idx="7">
                  <c:v>98.544874496000006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  <c:pt idx="13">
                  <c:v>350</c:v>
                </c:pt>
                <c:pt idx="14">
                  <c:v>400</c:v>
                </c:pt>
                <c:pt idx="15">
                  <c:v>450</c:v>
                </c:pt>
                <c:pt idx="16">
                  <c:v>500</c:v>
                </c:pt>
              </c:numCache>
            </c:numRef>
          </c:xVal>
          <c:yVal>
            <c:numRef>
              <c:f>Hoja2!$U$1:$U$17</c:f>
              <c:numCache>
                <c:formatCode>General</c:formatCode>
                <c:ptCount val="17"/>
                <c:pt idx="0">
                  <c:v>0.56102979070182413</c:v>
                </c:pt>
                <c:pt idx="1">
                  <c:v>0.52855755588650344</c:v>
                </c:pt>
                <c:pt idx="2">
                  <c:v>0.50908399937585369</c:v>
                </c:pt>
                <c:pt idx="3">
                  <c:v>0.50361035090628581</c:v>
                </c:pt>
                <c:pt idx="4">
                  <c:v>0.51835366251482129</c:v>
                </c:pt>
                <c:pt idx="5">
                  <c:v>0.55574347762153276</c:v>
                </c:pt>
                <c:pt idx="6">
                  <c:v>0.55877023618198918</c:v>
                </c:pt>
                <c:pt idx="7">
                  <c:v>0.61758308827770747</c:v>
                </c:pt>
                <c:pt idx="8">
                  <c:v>0.6202591031962893</c:v>
                </c:pt>
                <c:pt idx="9">
                  <c:v>0.66904461368044676</c:v>
                </c:pt>
                <c:pt idx="10">
                  <c:v>0.7070458393008876</c:v>
                </c:pt>
                <c:pt idx="11">
                  <c:v>0.73683610732501659</c:v>
                </c:pt>
                <c:pt idx="12">
                  <c:v>0.7605351652574972</c:v>
                </c:pt>
                <c:pt idx="13">
                  <c:v>0.77944205345213058</c:v>
                </c:pt>
                <c:pt idx="14">
                  <c:v>0.79470430558550365</c:v>
                </c:pt>
                <c:pt idx="15">
                  <c:v>0.80725621436652284</c:v>
                </c:pt>
                <c:pt idx="16">
                  <c:v>0.81766977221940229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02-4635-8274-2C2A443F0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388463"/>
        <c:axId val="1879389423"/>
      </c:scatterChart>
      <c:valAx>
        <c:axId val="1879388463"/>
        <c:scaling>
          <c:orientation val="minMax"/>
          <c:max val="50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(dias)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9389423"/>
        <c:crosses val="max"/>
        <c:crossBetween val="midCat"/>
      </c:valAx>
      <c:valAx>
        <c:axId val="18793894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% de gasto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9388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6313638443538"/>
          <c:y val="0.11722540580233906"/>
          <c:w val="0.84499051043551643"/>
          <c:h val="0.84920603263335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n=1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'caso 1 (2)'!$A$18:$A$34</c:f>
              <c:numCache>
                <c:formatCode>General</c:formatCode>
                <c:ptCount val="17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50</c:v>
                </c:pt>
                <c:pt idx="7">
                  <c:v>98.544874496000006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  <c:pt idx="13">
                  <c:v>350</c:v>
                </c:pt>
                <c:pt idx="14">
                  <c:v>400</c:v>
                </c:pt>
                <c:pt idx="15">
                  <c:v>450</c:v>
                </c:pt>
                <c:pt idx="16">
                  <c:v>500</c:v>
                </c:pt>
              </c:numCache>
            </c:numRef>
          </c:xVal>
          <c:yVal>
            <c:numRef>
              <c:f>'caso 1 (2)'!$E$18:$E$34</c:f>
              <c:numCache>
                <c:formatCode>General</c:formatCode>
                <c:ptCount val="17"/>
                <c:pt idx="0">
                  <c:v>3.3865525370490861E-2</c:v>
                </c:pt>
                <c:pt idx="1">
                  <c:v>4.3969852680039494E-2</c:v>
                </c:pt>
                <c:pt idx="2">
                  <c:v>6.3192134249730442E-2</c:v>
                </c:pt>
                <c:pt idx="3">
                  <c:v>9.3986335202884352E-2</c:v>
                </c:pt>
                <c:pt idx="4">
                  <c:v>0.14000952008317008</c:v>
                </c:pt>
                <c:pt idx="5">
                  <c:v>0.20527763361722948</c:v>
                </c:pt>
                <c:pt idx="6">
                  <c:v>0.2098586512475451</c:v>
                </c:pt>
                <c:pt idx="7">
                  <c:v>0.2944740280291876</c:v>
                </c:pt>
                <c:pt idx="8">
                  <c:v>0.29722772937809311</c:v>
                </c:pt>
                <c:pt idx="9">
                  <c:v>0.36151779885465435</c:v>
                </c:pt>
                <c:pt idx="10">
                  <c:v>0.40964161941039962</c:v>
                </c:pt>
                <c:pt idx="11">
                  <c:v>0.44646185977770164</c:v>
                </c:pt>
                <c:pt idx="12">
                  <c:v>0.47496413400794879</c:v>
                </c:pt>
                <c:pt idx="13">
                  <c:v>0.4972326936741886</c:v>
                </c:pt>
                <c:pt idx="14">
                  <c:v>0.51486035617057435</c:v>
                </c:pt>
                <c:pt idx="15">
                  <c:v>0.52910591402449147</c:v>
                </c:pt>
                <c:pt idx="16">
                  <c:v>0.54082393901869963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22-4790-B704-1C0FA8280629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n=3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'caso 2 (2)'!$A$18:$A$34</c:f>
              <c:numCache>
                <c:formatCode>General</c:formatCode>
                <c:ptCount val="17"/>
                <c:pt idx="0">
                  <c:v>1.517015754</c:v>
                </c:pt>
                <c:pt idx="1">
                  <c:v>3.0340430820000002</c:v>
                </c:pt>
                <c:pt idx="2">
                  <c:v>6.0680977380000014</c:v>
                </c:pt>
                <c:pt idx="3">
                  <c:v>12.136207049999999</c:v>
                </c:pt>
                <c:pt idx="4">
                  <c:v>24.272425674000001</c:v>
                </c:pt>
                <c:pt idx="5">
                  <c:v>48.544862921999993</c:v>
                </c:pt>
                <c:pt idx="6">
                  <c:v>50</c:v>
                </c:pt>
                <c:pt idx="7">
                  <c:v>98.544874496000006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  <c:pt idx="13">
                  <c:v>350</c:v>
                </c:pt>
                <c:pt idx="14">
                  <c:v>400</c:v>
                </c:pt>
                <c:pt idx="15">
                  <c:v>450</c:v>
                </c:pt>
                <c:pt idx="16">
                  <c:v>500</c:v>
                </c:pt>
              </c:numCache>
            </c:numRef>
          </c:xVal>
          <c:yVal>
            <c:numRef>
              <c:f>'caso 2 (2)'!$E$18:$E$34</c:f>
              <c:numCache>
                <c:formatCode>General</c:formatCode>
                <c:ptCount val="17"/>
                <c:pt idx="0">
                  <c:v>5.3697038903589608E-2</c:v>
                </c:pt>
                <c:pt idx="1">
                  <c:v>8.7472481064903101E-2</c:v>
                </c:pt>
                <c:pt idx="2">
                  <c:v>0.13898411385159951</c:v>
                </c:pt>
                <c:pt idx="3">
                  <c:v>0.20989042587031159</c:v>
                </c:pt>
                <c:pt idx="4">
                  <c:v>0.29555814980195644</c:v>
                </c:pt>
                <c:pt idx="5">
                  <c:v>0.38777355298888988</c:v>
                </c:pt>
                <c:pt idx="6">
                  <c:v>0.39395671825718054</c:v>
                </c:pt>
                <c:pt idx="7">
                  <c:v>0.47821870871730177</c:v>
                </c:pt>
                <c:pt idx="8">
                  <c:v>0.48069507083009477</c:v>
                </c:pt>
                <c:pt idx="9">
                  <c:v>0.5267097859696338</c:v>
                </c:pt>
                <c:pt idx="10">
                  <c:v>0.55453879143252871</c:v>
                </c:pt>
                <c:pt idx="11">
                  <c:v>0.57224909756951226</c:v>
                </c:pt>
                <c:pt idx="12">
                  <c:v>0.58388341371593444</c:v>
                </c:pt>
                <c:pt idx="13">
                  <c:v>0.59181962161177348</c:v>
                </c:pt>
                <c:pt idx="14">
                  <c:v>0.59742395763915257</c:v>
                </c:pt>
                <c:pt idx="15">
                  <c:v>0.60147188467282342</c:v>
                </c:pt>
                <c:pt idx="16">
                  <c:v>0.60451407969166449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22-4790-B704-1C0FA8280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388463"/>
        <c:axId val="1879389423"/>
      </c:scatterChart>
      <c:valAx>
        <c:axId val="1879388463"/>
        <c:scaling>
          <c:orientation val="minMax"/>
          <c:max val="50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(dias)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9389423"/>
        <c:crosses val="max"/>
        <c:crossBetween val="midCat"/>
      </c:valAx>
      <c:valAx>
        <c:axId val="187938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% de agua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9388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740831</xdr:colOff>
      <xdr:row>0</xdr:row>
      <xdr:rowOff>187853</xdr:rowOff>
    </xdr:from>
    <xdr:to>
      <xdr:col>14</xdr:col>
      <xdr:colOff>732894</xdr:colOff>
      <xdr:row>23</xdr:row>
      <xdr:rowOff>11642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FC0CB6-96BC-43BD-B2A1-FC8C4266E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190498</xdr:colOff>
      <xdr:row>1</xdr:row>
      <xdr:rowOff>7936</xdr:rowOff>
    </xdr:from>
    <xdr:to>
      <xdr:col>14</xdr:col>
      <xdr:colOff>182561</xdr:colOff>
      <xdr:row>23</xdr:row>
      <xdr:rowOff>22225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E297CA-F35B-426C-9793-1B60230D3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8</xdr:col>
      <xdr:colOff>754063</xdr:colOff>
      <xdr:row>22</xdr:row>
      <xdr:rowOff>52389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C1D199-3565-41A7-9578-DFDC640C2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18</xdr:col>
      <xdr:colOff>754063</xdr:colOff>
      <xdr:row>22</xdr:row>
      <xdr:rowOff>14289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7E9808-EEE4-4B46-B8D9-4B3D14565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28575</xdr:rowOff>
    </xdr:from>
    <xdr:to>
      <xdr:col>12</xdr:col>
      <xdr:colOff>11113</xdr:colOff>
      <xdr:row>22</xdr:row>
      <xdr:rowOff>42864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31D982-1291-431E-927A-E4B6E20FD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3BF6-7FE6-4742-AD0B-694D2225ACED}">
  <dimension ref="A1:E34"/>
  <sheetViews>
    <sheetView topLeftCell="A7" zoomScale="90" zoomScaleNormal="90" workbookViewId="0">
      <selection activeCell="C39" sqref="C39"/>
    </sheetView>
  </sheetViews>
  <sheetFormatPr baseColWidth="10" defaultRowHeight="15" x14ac:dyDescent="0.25"/>
  <cols>
    <col min="1" max="1" width="12.42578125" bestFit="1" customWidth="1"/>
    <col min="2" max="2" width="45" bestFit="1" customWidth="1"/>
    <col min="3" max="3" width="45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>
        <v>1.1574E-5</v>
      </c>
      <c r="B2">
        <v>-129379.0908554084</v>
      </c>
      <c r="C2">
        <v>0</v>
      </c>
      <c r="D2">
        <f>B2+C2</f>
        <v>-129379.0908554084</v>
      </c>
      <c r="E2">
        <f>B2/D2</f>
        <v>1</v>
      </c>
    </row>
    <row r="3" spans="1:5" x14ac:dyDescent="0.25">
      <c r="A3">
        <v>3.4721999999999997E-5</v>
      </c>
      <c r="B3">
        <v>-92709.007251231844</v>
      </c>
      <c r="C3">
        <v>0</v>
      </c>
      <c r="D3">
        <f t="shared" ref="D3:D34" si="0">B3+C3</f>
        <v>-92709.007251231844</v>
      </c>
      <c r="E3">
        <f t="shared" ref="E3:E34" si="1">B3/D3</f>
        <v>1</v>
      </c>
    </row>
    <row r="4" spans="1:5" x14ac:dyDescent="0.25">
      <c r="A4">
        <v>8.1018000000000003E-5</v>
      </c>
      <c r="B4">
        <v>-84229.756614515587</v>
      </c>
      <c r="C4">
        <v>-486.87835303434298</v>
      </c>
      <c r="D4">
        <f t="shared" si="0"/>
        <v>-84716.634967549937</v>
      </c>
      <c r="E4">
        <f t="shared" si="1"/>
        <v>0.99425286009978031</v>
      </c>
    </row>
    <row r="5" spans="1:5" x14ac:dyDescent="0.25">
      <c r="A5">
        <v>1.7361000000000001E-4</v>
      </c>
      <c r="B5">
        <v>-77585.686608612959</v>
      </c>
      <c r="C5">
        <v>-1936.2249841356449</v>
      </c>
      <c r="D5">
        <f t="shared" si="0"/>
        <v>-79521.911592748598</v>
      </c>
      <c r="E5">
        <f t="shared" si="1"/>
        <v>0.97565167957667409</v>
      </c>
    </row>
    <row r="6" spans="1:5" x14ac:dyDescent="0.25">
      <c r="A6">
        <v>3.5879400000000001E-4</v>
      </c>
      <c r="B6">
        <v>-67824.827697229324</v>
      </c>
      <c r="C6">
        <v>-4455.4760927407951</v>
      </c>
      <c r="D6">
        <f t="shared" si="0"/>
        <v>-72280.303789970116</v>
      </c>
      <c r="E6">
        <f t="shared" si="1"/>
        <v>0.93835836515453264</v>
      </c>
    </row>
    <row r="7" spans="1:5" x14ac:dyDescent="0.25">
      <c r="A7">
        <v>7.29162E-4</v>
      </c>
      <c r="B7">
        <v>-59309.910795125157</v>
      </c>
      <c r="C7">
        <v>-7448.2098215552414</v>
      </c>
      <c r="D7">
        <f t="shared" si="0"/>
        <v>-66758.120616680404</v>
      </c>
      <c r="E7">
        <f t="shared" si="1"/>
        <v>0.8884299055642646</v>
      </c>
    </row>
    <row r="8" spans="1:5" x14ac:dyDescent="0.25">
      <c r="A8">
        <v>1.4698980000000001E-3</v>
      </c>
      <c r="B8">
        <v>-52289.455366467133</v>
      </c>
      <c r="C8">
        <v>-13894.368276142181</v>
      </c>
      <c r="D8">
        <f t="shared" si="0"/>
        <v>-66183.823642609321</v>
      </c>
      <c r="E8">
        <f t="shared" si="1"/>
        <v>0.79006398374365061</v>
      </c>
    </row>
    <row r="9" spans="1:5" x14ac:dyDescent="0.25">
      <c r="A9">
        <v>2.95137E-3</v>
      </c>
      <c r="B9">
        <v>-41232.217139507469</v>
      </c>
      <c r="C9">
        <v>-24421.317312183259</v>
      </c>
      <c r="D9">
        <f t="shared" si="0"/>
        <v>-65653.534451690735</v>
      </c>
      <c r="E9">
        <f t="shared" si="1"/>
        <v>0.62802737863027025</v>
      </c>
    </row>
    <row r="10" spans="1:5" x14ac:dyDescent="0.25">
      <c r="A10">
        <v>5.9143140000000004E-3</v>
      </c>
      <c r="B10">
        <v>-26834.692135402489</v>
      </c>
      <c r="C10">
        <v>-37720.543594786534</v>
      </c>
      <c r="D10">
        <f t="shared" si="0"/>
        <v>-64555.235730189022</v>
      </c>
      <c r="E10">
        <f t="shared" si="1"/>
        <v>0.41568575858911072</v>
      </c>
    </row>
    <row r="11" spans="1:5" x14ac:dyDescent="0.25">
      <c r="A11">
        <v>1.1840201999999999E-2</v>
      </c>
      <c r="B11">
        <v>-13596.831385396739</v>
      </c>
      <c r="C11">
        <v>-48784.708756238033</v>
      </c>
      <c r="D11">
        <f t="shared" si="0"/>
        <v>-62381.540141634774</v>
      </c>
      <c r="E11">
        <f t="shared" si="1"/>
        <v>0.21796241892274032</v>
      </c>
    </row>
    <row r="12" spans="1:5" x14ac:dyDescent="0.25">
      <c r="A12">
        <v>2.3691977999999999E-2</v>
      </c>
      <c r="B12">
        <v>-7352.5119999160588</v>
      </c>
      <c r="C12">
        <v>-51306.214492936087</v>
      </c>
      <c r="D12">
        <f t="shared" si="0"/>
        <v>-58658.726492852147</v>
      </c>
      <c r="E12">
        <f t="shared" si="1"/>
        <v>0.1253438736146445</v>
      </c>
    </row>
    <row r="13" spans="1:5" x14ac:dyDescent="0.25">
      <c r="A13">
        <v>4.7395530000000012E-2</v>
      </c>
      <c r="B13">
        <v>-4382.2040566392961</v>
      </c>
      <c r="C13">
        <v>-48652.406568515369</v>
      </c>
      <c r="D13">
        <f t="shared" si="0"/>
        <v>-53034.610625154666</v>
      </c>
      <c r="E13">
        <f t="shared" si="1"/>
        <v>8.2629136048767135E-2</v>
      </c>
    </row>
    <row r="14" spans="1:5" x14ac:dyDescent="0.25">
      <c r="A14">
        <v>9.4802633999999997E-2</v>
      </c>
      <c r="B14">
        <v>-2603.2984846156778</v>
      </c>
      <c r="C14">
        <v>-43104.350498407111</v>
      </c>
      <c r="D14">
        <f t="shared" si="0"/>
        <v>-45707.648983022787</v>
      </c>
      <c r="E14">
        <f t="shared" si="1"/>
        <v>5.6955423053647369E-2</v>
      </c>
    </row>
    <row r="15" spans="1:5" x14ac:dyDescent="0.25">
      <c r="A15">
        <v>0.18961684200000001</v>
      </c>
      <c r="B15">
        <v>-1607.881247661109</v>
      </c>
      <c r="C15">
        <v>-35953.437708582664</v>
      </c>
      <c r="D15">
        <f t="shared" si="0"/>
        <v>-37561.318956243769</v>
      </c>
      <c r="E15">
        <f t="shared" si="1"/>
        <v>4.2806836723017494E-2</v>
      </c>
    </row>
    <row r="16" spans="1:5" x14ac:dyDescent="0.25">
      <c r="A16">
        <v>0.37924525799999997</v>
      </c>
      <c r="B16">
        <v>-1025.2462245697291</v>
      </c>
      <c r="C16">
        <v>-28492.152290258829</v>
      </c>
      <c r="D16">
        <f t="shared" si="0"/>
        <v>-29517.398514828557</v>
      </c>
      <c r="E16">
        <f t="shared" si="1"/>
        <v>3.4733624104938639E-2</v>
      </c>
    </row>
    <row r="17" spans="1:5" x14ac:dyDescent="0.25">
      <c r="A17">
        <v>0.75850208999999991</v>
      </c>
      <c r="B17">
        <v>-701.65144508671028</v>
      </c>
      <c r="C17">
        <v>-21762.95894712759</v>
      </c>
      <c r="D17">
        <f t="shared" si="0"/>
        <v>-22464.610392214301</v>
      </c>
      <c r="E17">
        <f t="shared" si="1"/>
        <v>3.1233635163772346E-2</v>
      </c>
    </row>
    <row r="18" spans="1:5" x14ac:dyDescent="0.25">
      <c r="A18">
        <v>1.517015754</v>
      </c>
      <c r="B18">
        <v>-564.6856940786605</v>
      </c>
      <c r="C18">
        <v>-16109.666405909909</v>
      </c>
      <c r="D18">
        <f t="shared" si="0"/>
        <v>-16674.35209998857</v>
      </c>
      <c r="E18">
        <f t="shared" si="1"/>
        <v>3.3865525370490861E-2</v>
      </c>
    </row>
    <row r="19" spans="1:5" x14ac:dyDescent="0.25">
      <c r="A19">
        <v>3.0340430820000002</v>
      </c>
      <c r="B19">
        <v>-536.21816587795286</v>
      </c>
      <c r="C19">
        <v>-11658.914025715079</v>
      </c>
      <c r="D19">
        <f t="shared" si="0"/>
        <v>-12195.132191593033</v>
      </c>
      <c r="E19">
        <f t="shared" si="1"/>
        <v>4.3969852680039494E-2</v>
      </c>
    </row>
    <row r="20" spans="1:5" x14ac:dyDescent="0.25">
      <c r="A20">
        <v>6.0680977380000014</v>
      </c>
      <c r="B20">
        <v>-559.46155193858783</v>
      </c>
      <c r="C20">
        <v>-8293.8800637700842</v>
      </c>
      <c r="D20">
        <f t="shared" si="0"/>
        <v>-8853.3416157086722</v>
      </c>
      <c r="E20">
        <f t="shared" si="1"/>
        <v>6.3192134249730442E-2</v>
      </c>
    </row>
    <row r="21" spans="1:5" x14ac:dyDescent="0.25">
      <c r="A21">
        <v>12.136207049999999</v>
      </c>
      <c r="B21">
        <v>-603.63737491333075</v>
      </c>
      <c r="C21">
        <v>-5818.9704819659073</v>
      </c>
      <c r="D21">
        <f t="shared" si="0"/>
        <v>-6422.6078568792382</v>
      </c>
      <c r="E21">
        <f t="shared" si="1"/>
        <v>9.3986335202884352E-2</v>
      </c>
    </row>
    <row r="22" spans="1:5" x14ac:dyDescent="0.25">
      <c r="A22">
        <v>24.272425674000001</v>
      </c>
      <c r="B22">
        <v>-655.99177555465212</v>
      </c>
      <c r="C22">
        <v>-4029.3451584264958</v>
      </c>
      <c r="D22">
        <f t="shared" si="0"/>
        <v>-4685.3369339811479</v>
      </c>
      <c r="E22">
        <f t="shared" si="1"/>
        <v>0.14000952008317008</v>
      </c>
    </row>
    <row r="23" spans="1:5" x14ac:dyDescent="0.25">
      <c r="A23">
        <v>48.544862921999993</v>
      </c>
      <c r="B23">
        <v>-711.57571736941907</v>
      </c>
      <c r="C23">
        <v>-2754.8307528856758</v>
      </c>
      <c r="D23">
        <f t="shared" si="0"/>
        <v>-3466.406470255095</v>
      </c>
      <c r="E23">
        <f t="shared" si="1"/>
        <v>0.20527763361722948</v>
      </c>
    </row>
    <row r="24" spans="1:5" x14ac:dyDescent="0.25">
      <c r="A24">
        <v>50</v>
      </c>
      <c r="B24">
        <v>-713.55537229648007</v>
      </c>
      <c r="C24">
        <v>-2686.6159718659501</v>
      </c>
      <c r="D24">
        <f t="shared" si="0"/>
        <v>-3400.1713441624302</v>
      </c>
      <c r="E24">
        <f t="shared" si="1"/>
        <v>0.2098586512475451</v>
      </c>
    </row>
    <row r="25" spans="1:5" x14ac:dyDescent="0.25">
      <c r="A25">
        <v>98.544874496000006</v>
      </c>
      <c r="B25">
        <v>-768.22621836428948</v>
      </c>
      <c r="C25">
        <v>-1840.581843608988</v>
      </c>
      <c r="D25">
        <f t="shared" si="0"/>
        <v>-2608.8080619732773</v>
      </c>
      <c r="E25">
        <f t="shared" si="1"/>
        <v>0.2944740280291876</v>
      </c>
    </row>
    <row r="26" spans="1:5" x14ac:dyDescent="0.25">
      <c r="A26">
        <v>100</v>
      </c>
      <c r="B26">
        <v>-768.73963976685195</v>
      </c>
      <c r="C26">
        <v>-1817.6261793824269</v>
      </c>
      <c r="D26">
        <f t="shared" si="0"/>
        <v>-2586.3658191492787</v>
      </c>
      <c r="E26">
        <f t="shared" si="1"/>
        <v>0.29722772937809311</v>
      </c>
    </row>
    <row r="27" spans="1:5" x14ac:dyDescent="0.25">
      <c r="A27">
        <v>150</v>
      </c>
      <c r="B27">
        <v>-802.08776703781098</v>
      </c>
      <c r="C27">
        <v>-1416.5796667066741</v>
      </c>
      <c r="D27">
        <f t="shared" si="0"/>
        <v>-2218.6674337444852</v>
      </c>
      <c r="E27">
        <f t="shared" si="1"/>
        <v>0.36151779885465435</v>
      </c>
    </row>
    <row r="28" spans="1:5" x14ac:dyDescent="0.25">
      <c r="A28">
        <v>200</v>
      </c>
      <c r="B28">
        <v>-824.12811545639443</v>
      </c>
      <c r="C28">
        <v>-1187.6989948908611</v>
      </c>
      <c r="D28">
        <f t="shared" si="0"/>
        <v>-2011.8271103472555</v>
      </c>
      <c r="E28">
        <f t="shared" si="1"/>
        <v>0.40964161941039962</v>
      </c>
    </row>
    <row r="29" spans="1:5" x14ac:dyDescent="0.25">
      <c r="A29">
        <v>250</v>
      </c>
      <c r="B29">
        <v>-840.4058869938724</v>
      </c>
      <c r="C29">
        <v>-1041.962939342872</v>
      </c>
      <c r="D29">
        <f t="shared" si="0"/>
        <v>-1882.3688263367444</v>
      </c>
      <c r="E29">
        <f t="shared" si="1"/>
        <v>0.44646185977770164</v>
      </c>
    </row>
    <row r="30" spans="1:5" x14ac:dyDescent="0.25">
      <c r="A30">
        <v>300</v>
      </c>
      <c r="B30">
        <v>-852.87489717251026</v>
      </c>
      <c r="C30">
        <v>-942.78678779639517</v>
      </c>
      <c r="D30">
        <f t="shared" si="0"/>
        <v>-1795.6616849689053</v>
      </c>
      <c r="E30">
        <f t="shared" si="1"/>
        <v>0.47496413400794879</v>
      </c>
    </row>
    <row r="31" spans="1:5" x14ac:dyDescent="0.25">
      <c r="A31">
        <v>350</v>
      </c>
      <c r="B31">
        <v>-862.66837713713846</v>
      </c>
      <c r="C31">
        <v>-872.27059230721875</v>
      </c>
      <c r="D31">
        <f t="shared" si="0"/>
        <v>-1734.9389694443571</v>
      </c>
      <c r="E31">
        <f t="shared" si="1"/>
        <v>0.4972326936741886</v>
      </c>
    </row>
    <row r="32" spans="1:5" x14ac:dyDescent="0.25">
      <c r="A32">
        <v>400</v>
      </c>
      <c r="B32">
        <v>-870.52878517869487</v>
      </c>
      <c r="C32">
        <v>-820.27683763815844</v>
      </c>
      <c r="D32">
        <f t="shared" si="0"/>
        <v>-1690.8056228168534</v>
      </c>
      <c r="E32">
        <f t="shared" si="1"/>
        <v>0.51486035617057435</v>
      </c>
    </row>
    <row r="33" spans="1:5" x14ac:dyDescent="0.25">
      <c r="A33">
        <v>450</v>
      </c>
      <c r="B33">
        <v>-877.03847254935067</v>
      </c>
      <c r="C33">
        <v>-780.54737047858043</v>
      </c>
      <c r="D33">
        <f t="shared" si="0"/>
        <v>-1657.5858430279311</v>
      </c>
      <c r="E33">
        <f t="shared" si="1"/>
        <v>0.52910591402449147</v>
      </c>
    </row>
    <row r="34" spans="1:5" x14ac:dyDescent="0.25">
      <c r="A34">
        <v>500</v>
      </c>
      <c r="B34">
        <v>-882.59590878633878</v>
      </c>
      <c r="C34">
        <v>-749.35091366343806</v>
      </c>
      <c r="D34">
        <f t="shared" si="0"/>
        <v>-1631.9468224497768</v>
      </c>
      <c r="E34">
        <f t="shared" si="1"/>
        <v>0.54082393901869963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2814-B182-40BE-8909-48F3D26BF197}">
  <dimension ref="A1:E34"/>
  <sheetViews>
    <sheetView zoomScale="90" zoomScaleNormal="90" workbookViewId="0">
      <selection activeCell="D1" sqref="D1:E1048576"/>
    </sheetView>
  </sheetViews>
  <sheetFormatPr baseColWidth="10" defaultRowHeight="15" x14ac:dyDescent="0.25"/>
  <cols>
    <col min="1" max="1" width="13.28515625" bestFit="1" customWidth="1"/>
    <col min="2" max="2" width="45" bestFit="1" customWidth="1"/>
    <col min="3" max="3" width="45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>
        <v>1.1574E-5</v>
      </c>
      <c r="B2">
        <v>-129034.53017022461</v>
      </c>
      <c r="C2">
        <v>0</v>
      </c>
      <c r="D2">
        <f>B2+C2</f>
        <v>-129034.53017022461</v>
      </c>
      <c r="E2">
        <f>B2/D2</f>
        <v>1</v>
      </c>
    </row>
    <row r="3" spans="1:5" x14ac:dyDescent="0.25">
      <c r="A3">
        <v>3.4721999999999997E-5</v>
      </c>
      <c r="B3">
        <v>-92494.534571791926</v>
      </c>
      <c r="C3">
        <v>0</v>
      </c>
      <c r="D3">
        <f t="shared" ref="D3:D34" si="0">B3+C3</f>
        <v>-92494.534571791926</v>
      </c>
      <c r="E3">
        <f t="shared" ref="E3:E34" si="1">B3/D3</f>
        <v>1</v>
      </c>
    </row>
    <row r="4" spans="1:5" x14ac:dyDescent="0.25">
      <c r="A4">
        <v>8.1018000000000003E-5</v>
      </c>
      <c r="B4">
        <v>-83222.838618068548</v>
      </c>
      <c r="C4">
        <v>-5.8549714775387596</v>
      </c>
      <c r="D4">
        <f t="shared" si="0"/>
        <v>-83228.693589546092</v>
      </c>
      <c r="E4">
        <f t="shared" si="1"/>
        <v>0.99992965200791906</v>
      </c>
    </row>
    <row r="5" spans="1:5" x14ac:dyDescent="0.25">
      <c r="A5">
        <v>1.7361000000000001E-4</v>
      </c>
      <c r="B5">
        <v>-74684.982942692659</v>
      </c>
      <c r="C5">
        <v>-23.209903428012971</v>
      </c>
      <c r="D5">
        <f t="shared" si="0"/>
        <v>-74708.19284612067</v>
      </c>
      <c r="E5">
        <f t="shared" si="1"/>
        <v>0.99968932586181258</v>
      </c>
    </row>
    <row r="6" spans="1:5" x14ac:dyDescent="0.25">
      <c r="A6">
        <v>3.5879400000000001E-4</v>
      </c>
      <c r="B6">
        <v>-62225.558763361412</v>
      </c>
      <c r="C6">
        <v>-51.610636675059233</v>
      </c>
      <c r="D6">
        <f t="shared" si="0"/>
        <v>-62277.169400036473</v>
      </c>
      <c r="E6">
        <f t="shared" si="1"/>
        <v>0.99917127516917892</v>
      </c>
    </row>
    <row r="7" spans="1:5" x14ac:dyDescent="0.25">
      <c r="A7">
        <v>7.29162E-4</v>
      </c>
      <c r="B7">
        <v>-50661.821955381238</v>
      </c>
      <c r="C7">
        <v>-82.950819152751833</v>
      </c>
      <c r="D7">
        <f t="shared" si="0"/>
        <v>-50744.772774533987</v>
      </c>
      <c r="E7">
        <f t="shared" si="1"/>
        <v>0.99836533273049988</v>
      </c>
    </row>
    <row r="8" spans="1:5" x14ac:dyDescent="0.25">
      <c r="A8">
        <v>1.4698980000000001E-3</v>
      </c>
      <c r="B8">
        <v>-40288.487155682727</v>
      </c>
      <c r="C8">
        <v>-465.1456501692947</v>
      </c>
      <c r="D8">
        <f t="shared" si="0"/>
        <v>-40753.632805852023</v>
      </c>
      <c r="E8">
        <f t="shared" si="1"/>
        <v>0.98858640032447598</v>
      </c>
    </row>
    <row r="9" spans="1:5" x14ac:dyDescent="0.25">
      <c r="A9">
        <v>2.95137E-3</v>
      </c>
      <c r="B9">
        <v>-28577.99480236154</v>
      </c>
      <c r="C9">
        <v>-1193.573770864919</v>
      </c>
      <c r="D9">
        <f t="shared" si="0"/>
        <v>-29771.568573226457</v>
      </c>
      <c r="E9">
        <f t="shared" si="1"/>
        <v>0.95990893902922203</v>
      </c>
    </row>
    <row r="10" spans="1:5" x14ac:dyDescent="0.25">
      <c r="A10">
        <v>5.9143140000000004E-3</v>
      </c>
      <c r="B10">
        <v>-18190.796006776571</v>
      </c>
      <c r="C10">
        <v>-3148.111543608702</v>
      </c>
      <c r="D10">
        <f t="shared" si="0"/>
        <v>-21338.907550385273</v>
      </c>
      <c r="E10">
        <f t="shared" si="1"/>
        <v>0.85247081950304138</v>
      </c>
    </row>
    <row r="11" spans="1:5" x14ac:dyDescent="0.25">
      <c r="A11">
        <v>1.1840201999999999E-2</v>
      </c>
      <c r="B11">
        <v>-10656.29470319963</v>
      </c>
      <c r="C11">
        <v>-6423.2203144749265</v>
      </c>
      <c r="D11">
        <f t="shared" si="0"/>
        <v>-17079.515017674556</v>
      </c>
      <c r="E11">
        <f t="shared" si="1"/>
        <v>0.62392255823260068</v>
      </c>
    </row>
    <row r="12" spans="1:5" x14ac:dyDescent="0.25">
      <c r="A12">
        <v>2.3691977999999999E-2</v>
      </c>
      <c r="B12">
        <v>-6052.6584908845598</v>
      </c>
      <c r="C12">
        <v>-10608.340438598771</v>
      </c>
      <c r="D12">
        <f t="shared" si="0"/>
        <v>-16660.998929483329</v>
      </c>
      <c r="E12">
        <f t="shared" si="1"/>
        <v>0.36328304902377528</v>
      </c>
    </row>
    <row r="13" spans="1:5" x14ac:dyDescent="0.25">
      <c r="A13">
        <v>4.7395530000000012E-2</v>
      </c>
      <c r="B13">
        <v>-3818.4454090467179</v>
      </c>
      <c r="C13">
        <v>-14053.053207637769</v>
      </c>
      <c r="D13">
        <f t="shared" si="0"/>
        <v>-17871.498616684486</v>
      </c>
      <c r="E13">
        <f t="shared" si="1"/>
        <v>0.21366117587262048</v>
      </c>
    </row>
    <row r="14" spans="1:5" x14ac:dyDescent="0.25">
      <c r="A14">
        <v>9.4802633999999997E-2</v>
      </c>
      <c r="B14">
        <v>-2381.863024654609</v>
      </c>
      <c r="C14">
        <v>-16326.235400749531</v>
      </c>
      <c r="D14">
        <f t="shared" si="0"/>
        <v>-18708.09842540414</v>
      </c>
      <c r="E14">
        <f t="shared" si="1"/>
        <v>0.12731721688080413</v>
      </c>
    </row>
    <row r="15" spans="1:5" x14ac:dyDescent="0.25">
      <c r="A15">
        <v>0.18961684200000001</v>
      </c>
      <c r="B15">
        <v>-1293.706935746339</v>
      </c>
      <c r="C15">
        <v>-17337.053322408759</v>
      </c>
      <c r="D15">
        <f t="shared" si="0"/>
        <v>-18630.7602581551</v>
      </c>
      <c r="E15">
        <f t="shared" si="1"/>
        <v>6.9439299192315812E-2</v>
      </c>
    </row>
    <row r="16" spans="1:5" x14ac:dyDescent="0.25">
      <c r="A16">
        <v>0.37924525799999997</v>
      </c>
      <c r="B16">
        <v>-768.31400766358024</v>
      </c>
      <c r="C16">
        <v>-15677.80292920867</v>
      </c>
      <c r="D16">
        <f t="shared" si="0"/>
        <v>-16446.116936872251</v>
      </c>
      <c r="E16">
        <f t="shared" si="1"/>
        <v>4.6717046377130977E-2</v>
      </c>
    </row>
    <row r="17" spans="1:5" x14ac:dyDescent="0.25">
      <c r="A17">
        <v>0.75850208999999991</v>
      </c>
      <c r="B17">
        <v>-525.83955970928105</v>
      </c>
      <c r="C17">
        <v>-12498.91896609604</v>
      </c>
      <c r="D17">
        <f t="shared" si="0"/>
        <v>-13024.75852580532</v>
      </c>
      <c r="E17">
        <f t="shared" si="1"/>
        <v>4.0372307760444134E-2</v>
      </c>
    </row>
    <row r="18" spans="1:5" x14ac:dyDescent="0.25">
      <c r="A18">
        <v>1.517015754</v>
      </c>
      <c r="B18">
        <v>-502.32550354242778</v>
      </c>
      <c r="C18">
        <v>-8852.4827652026797</v>
      </c>
      <c r="D18">
        <f t="shared" si="0"/>
        <v>-9354.8082687451079</v>
      </c>
      <c r="E18">
        <f t="shared" si="1"/>
        <v>5.3697038903589608E-2</v>
      </c>
    </row>
    <row r="19" spans="1:5" x14ac:dyDescent="0.25">
      <c r="A19">
        <v>3.0340430820000002</v>
      </c>
      <c r="B19">
        <v>-563.83267832167132</v>
      </c>
      <c r="C19">
        <v>-5881.9965865795602</v>
      </c>
      <c r="D19">
        <f t="shared" si="0"/>
        <v>-6445.8292649012319</v>
      </c>
      <c r="E19">
        <f t="shared" si="1"/>
        <v>8.7472481064903101E-2</v>
      </c>
    </row>
    <row r="20" spans="1:5" x14ac:dyDescent="0.25">
      <c r="A20">
        <v>6.0680977380000014</v>
      </c>
      <c r="B20">
        <v>-626.41454312862925</v>
      </c>
      <c r="C20">
        <v>-3880.6800144370241</v>
      </c>
      <c r="D20">
        <f t="shared" si="0"/>
        <v>-4507.0945575656533</v>
      </c>
      <c r="E20">
        <f t="shared" si="1"/>
        <v>0.13898411385159951</v>
      </c>
    </row>
    <row r="21" spans="1:5" x14ac:dyDescent="0.25">
      <c r="A21">
        <v>12.136207049999999</v>
      </c>
      <c r="B21">
        <v>-678.88886064905876</v>
      </c>
      <c r="C21">
        <v>-2555.6029358873629</v>
      </c>
      <c r="D21">
        <f t="shared" si="0"/>
        <v>-3234.4917965364216</v>
      </c>
      <c r="E21">
        <f t="shared" si="1"/>
        <v>0.20989042587031159</v>
      </c>
    </row>
    <row r="22" spans="1:5" x14ac:dyDescent="0.25">
      <c r="A22">
        <v>24.272425674000001</v>
      </c>
      <c r="B22">
        <v>-717.81071712294874</v>
      </c>
      <c r="C22">
        <v>-1710.8508427221429</v>
      </c>
      <c r="D22">
        <f t="shared" si="0"/>
        <v>-2428.6615598450917</v>
      </c>
      <c r="E22">
        <f t="shared" si="1"/>
        <v>0.29555814980195644</v>
      </c>
    </row>
    <row r="23" spans="1:5" x14ac:dyDescent="0.25">
      <c r="A23">
        <v>48.544862921999993</v>
      </c>
      <c r="B23">
        <v>-747.0196862655506</v>
      </c>
      <c r="C23">
        <v>-1179.4131003637981</v>
      </c>
      <c r="D23">
        <f t="shared" si="0"/>
        <v>-1926.4327866293488</v>
      </c>
      <c r="E23">
        <f t="shared" si="1"/>
        <v>0.38777355298888988</v>
      </c>
    </row>
    <row r="24" spans="1:5" x14ac:dyDescent="0.25">
      <c r="A24">
        <v>50</v>
      </c>
      <c r="B24">
        <v>-748.48409913181069</v>
      </c>
      <c r="C24">
        <v>-1151.430445905062</v>
      </c>
      <c r="D24">
        <f t="shared" si="0"/>
        <v>-1899.9145450368728</v>
      </c>
      <c r="E24">
        <f t="shared" si="1"/>
        <v>0.39395671825718054</v>
      </c>
    </row>
    <row r="25" spans="1:5" x14ac:dyDescent="0.25">
      <c r="A25">
        <v>98.544874496000006</v>
      </c>
      <c r="B25">
        <v>-770.48481735178893</v>
      </c>
      <c r="C25">
        <v>-840.67092228544857</v>
      </c>
      <c r="D25">
        <f t="shared" si="0"/>
        <v>-1611.1557396372375</v>
      </c>
      <c r="E25">
        <f t="shared" si="1"/>
        <v>0.47821870871730177</v>
      </c>
    </row>
    <row r="26" spans="1:5" x14ac:dyDescent="0.25">
      <c r="A26">
        <v>100</v>
      </c>
      <c r="B26">
        <v>-771.13917729365915</v>
      </c>
      <c r="C26">
        <v>-833.07776622940833</v>
      </c>
      <c r="D26">
        <f t="shared" si="0"/>
        <v>-1604.2169435230676</v>
      </c>
      <c r="E26">
        <f t="shared" si="1"/>
        <v>0.48069507083009477</v>
      </c>
    </row>
    <row r="27" spans="1:5" x14ac:dyDescent="0.25">
      <c r="A27">
        <v>150</v>
      </c>
      <c r="B27">
        <v>-781.84142036418086</v>
      </c>
      <c r="C27">
        <v>-702.54607573078636</v>
      </c>
      <c r="D27">
        <f t="shared" si="0"/>
        <v>-1484.3874960949672</v>
      </c>
      <c r="E27">
        <f t="shared" si="1"/>
        <v>0.5267097859696338</v>
      </c>
    </row>
    <row r="28" spans="1:5" x14ac:dyDescent="0.25">
      <c r="A28">
        <v>200</v>
      </c>
      <c r="B28">
        <v>-788.80591524289355</v>
      </c>
      <c r="C28">
        <v>-633.64807252086109</v>
      </c>
      <c r="D28">
        <f t="shared" si="0"/>
        <v>-1422.4539877637546</v>
      </c>
      <c r="E28">
        <f t="shared" si="1"/>
        <v>0.55453879143252871</v>
      </c>
    </row>
    <row r="29" spans="1:5" x14ac:dyDescent="0.25">
      <c r="A29">
        <v>250</v>
      </c>
      <c r="B29">
        <v>-793.70796387038445</v>
      </c>
      <c r="C29">
        <v>-593.28935467754241</v>
      </c>
      <c r="D29">
        <f t="shared" si="0"/>
        <v>-1386.9973185479269</v>
      </c>
      <c r="E29">
        <f t="shared" si="1"/>
        <v>0.57224909756951226</v>
      </c>
    </row>
    <row r="30" spans="1:5" x14ac:dyDescent="0.25">
      <c r="A30">
        <v>300</v>
      </c>
      <c r="B30">
        <v>-797.38847441914777</v>
      </c>
      <c r="C30">
        <v>-568.27538190523467</v>
      </c>
      <c r="D30">
        <f t="shared" si="0"/>
        <v>-1365.6638563243823</v>
      </c>
      <c r="E30">
        <f t="shared" si="1"/>
        <v>0.58388341371593444</v>
      </c>
    </row>
    <row r="31" spans="1:5" x14ac:dyDescent="0.25">
      <c r="A31">
        <v>350</v>
      </c>
      <c r="B31">
        <v>-800.30843775181154</v>
      </c>
      <c r="C31">
        <v>-551.97595520602147</v>
      </c>
      <c r="D31">
        <f t="shared" si="0"/>
        <v>-1352.284392957833</v>
      </c>
      <c r="E31">
        <f t="shared" si="1"/>
        <v>0.59181962161177348</v>
      </c>
    </row>
    <row r="32" spans="1:5" x14ac:dyDescent="0.25">
      <c r="A32">
        <v>400</v>
      </c>
      <c r="B32">
        <v>-802.75290134703368</v>
      </c>
      <c r="C32">
        <v>-540.93760701369877</v>
      </c>
      <c r="D32">
        <f t="shared" si="0"/>
        <v>-1343.6905083607326</v>
      </c>
      <c r="E32">
        <f t="shared" si="1"/>
        <v>0.59742395763915257</v>
      </c>
    </row>
    <row r="33" spans="1:5" x14ac:dyDescent="0.25">
      <c r="A33">
        <v>450</v>
      </c>
      <c r="B33">
        <v>-804.82740726698501</v>
      </c>
      <c r="C33">
        <v>-533.2690653632842</v>
      </c>
      <c r="D33">
        <f t="shared" si="0"/>
        <v>-1338.0964726302691</v>
      </c>
      <c r="E33">
        <f t="shared" si="1"/>
        <v>0.60147188467282342</v>
      </c>
    </row>
    <row r="34" spans="1:5" x14ac:dyDescent="0.25">
      <c r="A34">
        <v>500</v>
      </c>
      <c r="B34">
        <v>-806.65971094191013</v>
      </c>
      <c r="C34">
        <v>-527.73387564477616</v>
      </c>
      <c r="D34">
        <f t="shared" si="0"/>
        <v>-1334.3935865866863</v>
      </c>
      <c r="E34">
        <f t="shared" si="1"/>
        <v>0.60451407969166449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DD27-A094-4861-8711-E3B2C6B456EA}">
  <dimension ref="T1:U17"/>
  <sheetViews>
    <sheetView tabSelected="1" topLeftCell="A7" zoomScaleNormal="100" workbookViewId="0">
      <selection activeCell="U22" sqref="U22"/>
    </sheetView>
  </sheetViews>
  <sheetFormatPr baseColWidth="10" defaultRowHeight="15" x14ac:dyDescent="0.25"/>
  <sheetData>
    <row r="1" spans="20:21" x14ac:dyDescent="0.25">
      <c r="T1">
        <v>1</v>
      </c>
      <c r="U1">
        <f>'caso 2 (2)'!D18/'caso 1 (2)'!D18</f>
        <v>0.56102979070182413</v>
      </c>
    </row>
    <row r="2" spans="20:21" x14ac:dyDescent="0.25">
      <c r="T2">
        <v>1</v>
      </c>
      <c r="U2">
        <f>'caso 2 (2)'!D19/'caso 1 (2)'!D19</f>
        <v>0.52855755588650344</v>
      </c>
    </row>
    <row r="3" spans="20:21" x14ac:dyDescent="0.25">
      <c r="T3">
        <v>1</v>
      </c>
      <c r="U3">
        <f>'caso 2 (2)'!D20/'caso 1 (2)'!D20</f>
        <v>0.50908399937585369</v>
      </c>
    </row>
    <row r="4" spans="20:21" x14ac:dyDescent="0.25">
      <c r="T4">
        <v>1</v>
      </c>
      <c r="U4">
        <f>'caso 2 (2)'!D21/'caso 1 (2)'!D21</f>
        <v>0.50361035090628581</v>
      </c>
    </row>
    <row r="5" spans="20:21" x14ac:dyDescent="0.25">
      <c r="T5">
        <v>1</v>
      </c>
      <c r="U5">
        <f>'caso 2 (2)'!D22/'caso 1 (2)'!D22</f>
        <v>0.51835366251482129</v>
      </c>
    </row>
    <row r="6" spans="20:21" x14ac:dyDescent="0.25">
      <c r="T6">
        <v>1</v>
      </c>
      <c r="U6">
        <f>'caso 2 (2)'!D23/'caso 1 (2)'!D23</f>
        <v>0.55574347762153276</v>
      </c>
    </row>
    <row r="7" spans="20:21" x14ac:dyDescent="0.25">
      <c r="T7">
        <v>1</v>
      </c>
      <c r="U7">
        <f>'caso 2 (2)'!D24/'caso 1 (2)'!D24</f>
        <v>0.55877023618198918</v>
      </c>
    </row>
    <row r="8" spans="20:21" x14ac:dyDescent="0.25">
      <c r="T8">
        <v>1</v>
      </c>
      <c r="U8">
        <f>'caso 2 (2)'!D25/'caso 1 (2)'!D25</f>
        <v>0.61758308827770747</v>
      </c>
    </row>
    <row r="9" spans="20:21" x14ac:dyDescent="0.25">
      <c r="T9">
        <v>1</v>
      </c>
      <c r="U9">
        <f>'caso 2 (2)'!D26/'caso 1 (2)'!D26</f>
        <v>0.6202591031962893</v>
      </c>
    </row>
    <row r="10" spans="20:21" x14ac:dyDescent="0.25">
      <c r="T10">
        <v>1</v>
      </c>
      <c r="U10">
        <f>'caso 2 (2)'!D27/'caso 1 (2)'!D27</f>
        <v>0.66904461368044676</v>
      </c>
    </row>
    <row r="11" spans="20:21" x14ac:dyDescent="0.25">
      <c r="T11">
        <v>1</v>
      </c>
      <c r="U11">
        <f>'caso 2 (2)'!D28/'caso 1 (2)'!D28</f>
        <v>0.7070458393008876</v>
      </c>
    </row>
    <row r="12" spans="20:21" x14ac:dyDescent="0.25">
      <c r="T12">
        <v>1</v>
      </c>
      <c r="U12">
        <f>'caso 2 (2)'!D29/'caso 1 (2)'!D29</f>
        <v>0.73683610732501659</v>
      </c>
    </row>
    <row r="13" spans="20:21" x14ac:dyDescent="0.25">
      <c r="T13">
        <v>1</v>
      </c>
      <c r="U13">
        <f>'caso 2 (2)'!D30/'caso 1 (2)'!D30</f>
        <v>0.7605351652574972</v>
      </c>
    </row>
    <row r="14" spans="20:21" x14ac:dyDescent="0.25">
      <c r="T14">
        <v>1</v>
      </c>
      <c r="U14">
        <f>'caso 2 (2)'!D31/'caso 1 (2)'!D31</f>
        <v>0.77944205345213058</v>
      </c>
    </row>
    <row r="15" spans="20:21" x14ac:dyDescent="0.25">
      <c r="T15">
        <v>1</v>
      </c>
      <c r="U15">
        <f>'caso 2 (2)'!D32/'caso 1 (2)'!D32</f>
        <v>0.79470430558550365</v>
      </c>
    </row>
    <row r="16" spans="20:21" x14ac:dyDescent="0.25">
      <c r="T16">
        <v>1</v>
      </c>
      <c r="U16">
        <f>'caso 2 (2)'!D33/'caso 1 (2)'!D33</f>
        <v>0.80725621436652284</v>
      </c>
    </row>
    <row r="17" spans="20:21" x14ac:dyDescent="0.25">
      <c r="T17">
        <v>1</v>
      </c>
      <c r="U17">
        <f>'caso 2 (2)'!D34/'caso 1 (2)'!D34</f>
        <v>0.81766977221940229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A3B8-F0F8-453C-A832-9232D1721777}">
  <dimension ref="A1:B1"/>
  <sheetViews>
    <sheetView workbookViewId="0">
      <selection activeCell="N9" sqref="N9"/>
    </sheetView>
  </sheetViews>
  <sheetFormatPr baseColWidth="10" defaultRowHeight="15" x14ac:dyDescent="0.25"/>
  <sheetData>
    <row r="1" spans="1:2" x14ac:dyDescent="0.25">
      <c r="A1" t="s">
        <v>5</v>
      </c>
      <c r="B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 1 (2)</vt:lpstr>
      <vt:lpstr>caso 2 (2)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Armando garcia navarrete</dc:creator>
  <cp:lastModifiedBy>Luis Armando garcia navarrete</cp:lastModifiedBy>
  <dcterms:created xsi:type="dcterms:W3CDTF">2025-09-19T19:12:26Z</dcterms:created>
  <dcterms:modified xsi:type="dcterms:W3CDTF">2025-09-22T21:02:00Z</dcterms:modified>
</cp:coreProperties>
</file>